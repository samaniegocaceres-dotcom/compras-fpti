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updateLinks="always"/>
  <mc:AlternateContent xmlns:mc="http://schemas.openxmlformats.org/markup-compatibility/2006">
    <mc:Choice Requires="x15">
      <x15ac:absPath xmlns:x15ac="http://schemas.microsoft.com/office/spreadsheetml/2010/11/ac" url="https://ptiorgpy-my.sharepoint.com/personal/rodrigo_arguello_pti_org_py/Documents/Archivos de chat de Microsoft Teams/"/>
    </mc:Choice>
  </mc:AlternateContent>
  <xr:revisionPtr revIDLastSave="296" documentId="8_{E2F4EC5B-43CC-490E-865D-A4ED6DD2D516}" xr6:coauthVersionLast="47" xr6:coauthVersionMax="47" xr10:uidLastSave="{4FE8CD29-2350-40B6-9AB0-C5E231040972}"/>
  <bookViews>
    <workbookView xWindow="-120" yWindow="-120" windowWidth="20730" windowHeight="11160" tabRatio="595" firstSheet="11" activeTab="15" xr2:uid="{00000000-000D-0000-FFFF-FFFF00000000}"/>
  </bookViews>
  <sheets>
    <sheet name="Resumen de procesos" sheetId="11" r:id="rId1"/>
    <sheet name="CLP 002_2026" sheetId="76" r:id="rId2"/>
    <sheet name="CLP 001_2026" sheetId="77" r:id="rId3"/>
    <sheet name="CLP 029_2025" sheetId="71" r:id="rId4"/>
    <sheet name="CLP 028_2025" sheetId="69" r:id="rId5"/>
    <sheet name="CLP 027_2025" sheetId="70" r:id="rId6"/>
    <sheet name="CLP 026_2025" sheetId="66" r:id="rId7"/>
    <sheet name="CPP 007_2026" sheetId="78" r:id="rId8"/>
    <sheet name="CPP 006_2026" sheetId="79" r:id="rId9"/>
    <sheet name="CPP 005_2026" sheetId="80" r:id="rId10"/>
    <sheet name="CPP 004_2026" sheetId="81" r:id="rId11"/>
    <sheet name="CPP 003_2026" sheetId="75" r:id="rId12"/>
    <sheet name="CPP 002_2026" sheetId="74" r:id="rId13"/>
    <sheet name="CPP 001_2026" sheetId="73" r:id="rId14"/>
    <sheet name="CPP 037_2025" sheetId="72" r:id="rId15"/>
    <sheet name="CPP 036 2025" sheetId="68" r:id="rId16"/>
    <sheet name="CPP 035 2025" sheetId="67" r:id="rId17"/>
  </sheets>
  <definedNames>
    <definedName name="_Hlk201907063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71" l="1"/>
  <c r="C5" i="68"/>
  <c r="C5" i="71"/>
  <c r="C5" i="70"/>
  <c r="F13" i="66"/>
  <c r="C5" i="67"/>
  <c r="F9" i="11"/>
  <c r="E9" i="11"/>
  <c r="D9" i="11"/>
  <c r="C9" i="11"/>
  <c r="F18" i="11"/>
  <c r="E18" i="11"/>
  <c r="D18" i="11"/>
  <c r="C18" i="11"/>
  <c r="F17" i="11"/>
  <c r="E17" i="11"/>
  <c r="D17" i="11"/>
  <c r="C17" i="11"/>
  <c r="F16" i="11"/>
  <c r="E16" i="11"/>
  <c r="D16" i="11"/>
  <c r="C16" i="11"/>
  <c r="F15" i="11"/>
  <c r="E15" i="11"/>
  <c r="D15" i="11"/>
  <c r="C15" i="11"/>
  <c r="H5" i="78"/>
  <c r="C1" i="78"/>
  <c r="H5" i="79"/>
  <c r="C1" i="79"/>
  <c r="H5" i="80"/>
  <c r="C1" i="80"/>
  <c r="H5" i="81"/>
  <c r="C1" i="81"/>
  <c r="H5" i="70"/>
  <c r="E4" i="11" s="1"/>
  <c r="D4" i="11"/>
  <c r="F14" i="11"/>
  <c r="H5" i="75"/>
  <c r="E14" i="11"/>
  <c r="D14" i="11"/>
  <c r="C14" i="11"/>
  <c r="F13" i="11"/>
  <c r="E13" i="11"/>
  <c r="D13" i="11"/>
  <c r="C13" i="11"/>
  <c r="F12" i="11"/>
  <c r="E12" i="11"/>
  <c r="D12" i="11"/>
  <c r="C12" i="11"/>
  <c r="F8" i="11"/>
  <c r="F7" i="11"/>
  <c r="E8" i="11"/>
  <c r="E7" i="11"/>
  <c r="D8" i="11"/>
  <c r="D7" i="11"/>
  <c r="C8" i="11"/>
  <c r="C7" i="11"/>
  <c r="J8" i="76"/>
  <c r="H5" i="76"/>
  <c r="J8" i="77"/>
  <c r="H5" i="77"/>
  <c r="H5" i="74"/>
  <c r="H5" i="73"/>
  <c r="C1" i="75"/>
  <c r="C1" i="74"/>
  <c r="C1" i="73"/>
  <c r="J9" i="67"/>
  <c r="J8" i="67"/>
  <c r="J8" i="72"/>
  <c r="F11" i="11"/>
  <c r="E11" i="11"/>
  <c r="D11" i="11"/>
  <c r="C11" i="11"/>
  <c r="H5" i="72"/>
  <c r="C1" i="72"/>
  <c r="F6" i="11"/>
  <c r="D6" i="11"/>
  <c r="C6" i="11"/>
  <c r="J8" i="71"/>
  <c r="E6" i="11"/>
  <c r="F5" i="11"/>
  <c r="E5" i="11"/>
  <c r="D5" i="11"/>
  <c r="C5" i="11"/>
  <c r="J8" i="69"/>
  <c r="H5" i="69"/>
  <c r="F4" i="11"/>
  <c r="C4" i="11"/>
  <c r="J8" i="70"/>
  <c r="F10" i="11"/>
  <c r="E10" i="11"/>
  <c r="D10" i="11"/>
  <c r="C10" i="11"/>
  <c r="J8" i="68"/>
  <c r="C1" i="68"/>
  <c r="C1" i="67"/>
  <c r="F3" i="11" a="1"/>
  <c r="F3" i="11" s="1"/>
  <c r="E3" i="11"/>
  <c r="D3" i="11"/>
  <c r="C3" i="11"/>
  <c r="J8" i="6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<sst xmlns="http://schemas.openxmlformats.org/spreadsheetml/2006/main" count="548" uniqueCount="106">
  <si>
    <t>Proceso:</t>
  </si>
  <si>
    <t>Objeto del proceso:</t>
  </si>
  <si>
    <t>Estado del Proceso</t>
  </si>
  <si>
    <t>Próximo Evento</t>
  </si>
  <si>
    <t>Siglas del Proyecto</t>
  </si>
  <si>
    <t>CLP</t>
  </si>
  <si>
    <t>CLP/026/2025</t>
  </si>
  <si>
    <t>CLP/027/2025</t>
  </si>
  <si>
    <t>CLP/028/2025</t>
  </si>
  <si>
    <t>CLP/029/2025</t>
  </si>
  <si>
    <t xml:space="preserve">CLP </t>
  </si>
  <si>
    <t>CLP/001/2026</t>
  </si>
  <si>
    <t>CLP/002/2026</t>
  </si>
  <si>
    <t xml:space="preserve">CPP </t>
  </si>
  <si>
    <t>CPP 035/2025</t>
  </si>
  <si>
    <t>CPP 036/2025</t>
  </si>
  <si>
    <t>CPP 037/2025</t>
  </si>
  <si>
    <t>CPP 001/2026</t>
  </si>
  <si>
    <t>CPP 002/2026</t>
  </si>
  <si>
    <t>CPP 003/2026</t>
  </si>
  <si>
    <t>CPP 004/2026</t>
  </si>
  <si>
    <t>CPP 005/2026</t>
  </si>
  <si>
    <t>CPP 006/2026</t>
  </si>
  <si>
    <t>CPP 007/2026</t>
  </si>
  <si>
    <t>PROCESOS DE COMPRAS FPTI PY:</t>
  </si>
  <si>
    <t>MINNA Equipamientos</t>
  </si>
  <si>
    <t>Adquisición de utensilios de cocina para los Centros de Atención Integral (CAIPIS)</t>
  </si>
  <si>
    <t>Estado del Proceso:</t>
  </si>
  <si>
    <t>Publicado</t>
  </si>
  <si>
    <t>Fecha próximo evento:</t>
  </si>
  <si>
    <t>PRECIO REFERENCIAL/SOLPED</t>
  </si>
  <si>
    <t>Precio Máximo (+ 30%)</t>
  </si>
  <si>
    <t>Precio  referencial c/ :</t>
  </si>
  <si>
    <t>APERTURA 1 - SUSTANCIAL / FORMAL</t>
  </si>
  <si>
    <t>APERTURA 2 - Económica</t>
  </si>
  <si>
    <t>Participantes</t>
  </si>
  <si>
    <r>
      <t xml:space="preserve">Evaluación Sustancial </t>
    </r>
    <r>
      <rPr>
        <sz val="11"/>
        <color rgb="FF000000"/>
        <rFont val="Calibri"/>
        <family val="2"/>
        <scheme val="minor"/>
      </rPr>
      <t>(Sobre 1)</t>
    </r>
  </si>
  <si>
    <r>
      <t>Evaluación Formal/Técnica</t>
    </r>
    <r>
      <rPr>
        <sz val="11"/>
        <color rgb="FF000000"/>
        <rFont val="Calibri"/>
        <family val="2"/>
        <scheme val="minor"/>
      </rPr>
      <t xml:space="preserve"> (Sobre 2)</t>
    </r>
  </si>
  <si>
    <t>Clasificó próxima etapa</t>
  </si>
  <si>
    <r>
      <rPr>
        <b/>
        <sz val="12"/>
        <color rgb="FF000000"/>
        <rFont val="Calibri"/>
        <family val="2"/>
        <scheme val="minor"/>
      </rPr>
      <t xml:space="preserve">Evaluación oferta económica </t>
    </r>
    <r>
      <rPr>
        <sz val="12"/>
        <color rgb="FF000000"/>
        <rFont val="Calibri"/>
        <family val="2"/>
        <scheme val="minor"/>
      </rPr>
      <t>(Sobre 3)</t>
    </r>
  </si>
  <si>
    <t>Cumple</t>
  </si>
  <si>
    <t>Oferta Presentada</t>
  </si>
  <si>
    <t>Observaciones:</t>
  </si>
  <si>
    <t>Leyenda de colores:</t>
  </si>
  <si>
    <t>Habilitado</t>
  </si>
  <si>
    <t>Descalificado</t>
  </si>
  <si>
    <t>Dentro de Rango</t>
  </si>
  <si>
    <t>Adjudicado</t>
  </si>
  <si>
    <t>Fuera de rango 30%</t>
  </si>
  <si>
    <t>Adquisición de materiales de jardinería para los Centros de Atención Integral (CAIPIS)</t>
  </si>
  <si>
    <t>Adquisición de libros didácticos para equipamiento de Bibliobuses en el marco del Proyecto</t>
  </si>
  <si>
    <t>1. Librería Intercontinental Editora Impresora S.A.</t>
  </si>
  <si>
    <t>Sí</t>
  </si>
  <si>
    <t>2. Editorial en Alianza S.A.</t>
  </si>
  <si>
    <t>3. Editorial Occidente S.R.L.</t>
  </si>
  <si>
    <t>No</t>
  </si>
  <si>
    <t>4. Atlas Representaciones S.A.</t>
  </si>
  <si>
    <t>La Editorial Occidente S.R.L. el firmante de la oferta no se encuentra facultada, según las documentaciones evaluadas, de firmar individualmente .</t>
  </si>
  <si>
    <t>Adquisición de materiales recreativos y juguetes para el equipamiento de los Bibliobuses.</t>
  </si>
  <si>
    <t>Adquisición de mobiliarios didácticos para equipamiento de Bibliobuses</t>
  </si>
  <si>
    <t>Abracomaq S.R.L.</t>
  </si>
  <si>
    <t>Mobiliarte Industrial y Comercial S.R.L.</t>
  </si>
  <si>
    <t>Las Americas S.R.L.</t>
  </si>
  <si>
    <t>SECRETARIA NACIONAL DE CULTURA</t>
  </si>
  <si>
    <t>Contratación de Servicios de provisión e instalación de góndolas y mobiliarios incluyendo las obras y adecuaciones para la reubicación de los locales comerciales en el Centro Cultural del Puerto de Asunción.</t>
  </si>
  <si>
    <t>Desierto</t>
  </si>
  <si>
    <t>RDE</t>
  </si>
  <si>
    <t>Técnicos Consultores S.A. (TECNICON S.A.)</t>
  </si>
  <si>
    <t>La empresa presenta documentación inconsistente. Se evidencia posible subcontratación. La empresa no demuestra experiencia. Fue recomendado declara desierto este proceso</t>
  </si>
  <si>
    <t>CPP/FPTI-PY/007/2026</t>
  </si>
  <si>
    <t>Adquisición de materiales recreativos y juguetes para los Centros de Atención Integral (CAIPIS)</t>
  </si>
  <si>
    <t>PRECIO MÁXIMO</t>
  </si>
  <si>
    <t>Precio  referencial c/ IVA:</t>
  </si>
  <si>
    <t>Precio Máximo  (+ 30%)</t>
  </si>
  <si>
    <t>CPP/FPTI-PY/006/2026</t>
  </si>
  <si>
    <t>Adquisición de mobiliarios didácticos para los Centros de Atención Integral (CAIPIS)</t>
  </si>
  <si>
    <t>CPP/FPTI-PY/005/2026</t>
  </si>
  <si>
    <t>Adquisición de Utensilios, accesorios de aula, elementos institucionales e insumos médicos para los Centros de Atención Integral (CAIPIS)</t>
  </si>
  <si>
    <t>CPP/FPTI-PY/004/2026</t>
  </si>
  <si>
    <t>Adquisición de parques infantiles para los Centros de Atención Integral (CAIPIS).</t>
  </si>
  <si>
    <t>CPP 003/2025</t>
  </si>
  <si>
    <t>Adquisición de libros didácticos para los Centros de Atención Integral (CAIPIS)</t>
  </si>
  <si>
    <t>Adquisición de Electrodomésticos para los Centros de Atención Integral (CAIPIS),</t>
  </si>
  <si>
    <t>Adquisición de equipos informáticos y equipamiento para los Centros de Atención Integral (CAIPIS)</t>
  </si>
  <si>
    <t>MINNA OBRAS</t>
  </si>
  <si>
    <t>Contratación de servicios de provisión e instalación del Sistema de Combate contra Incendio para los Centros de Atención Integral a la Primera Infancia del Territorio Nacional (CAIPI)</t>
  </si>
  <si>
    <t>MOPC - CENTROS EDUCATIVOS</t>
  </si>
  <si>
    <t>Contratación de servicios de fiscalización de la elaboración del proyecto ejecutivo y fiscalización de la ejecución de obras civiles para 2 Centros Educativos en los Departamentos Paraguarí e Itapúa</t>
  </si>
  <si>
    <r>
      <t>1.</t>
    </r>
    <r>
      <rPr>
        <sz val="7"/>
        <color rgb="FF000000"/>
        <rFont val="Times New Roman"/>
        <charset val="1"/>
      </rPr>
      <t xml:space="preserve">    </t>
    </r>
    <r>
      <rPr>
        <sz val="11"/>
        <color rgb="FF000000"/>
        <rFont val="Trebuchet MS"/>
        <family val="2"/>
        <charset val="1"/>
      </rPr>
      <t>Roberto Eliseo Vera Vierci (RVV Ingeniería)</t>
    </r>
  </si>
  <si>
    <r>
      <t>2.</t>
    </r>
    <r>
      <rPr>
        <sz val="7"/>
        <color rgb="FF000000"/>
        <rFont val="Times New Roman"/>
        <charset val="1"/>
      </rPr>
      <t xml:space="preserve">    </t>
    </r>
    <r>
      <rPr>
        <sz val="11"/>
        <color rgb="FF000000"/>
        <rFont val="Trebuchet MS"/>
        <family val="2"/>
        <charset val="1"/>
      </rPr>
      <t>Consorcio 2 INN (Tecno Consulting Group S.A., Innovación y Excelencia S.A. (INEXSA) e Ingenieros Consultores de Estudio y proyecto S.A. (INTEC S.A.)</t>
    </r>
  </si>
  <si>
    <r>
      <t>3.</t>
    </r>
    <r>
      <rPr>
        <sz val="7"/>
        <color rgb="FF000000"/>
        <rFont val="Times New Roman"/>
        <charset val="1"/>
      </rPr>
      <t xml:space="preserve">    </t>
    </r>
    <r>
      <rPr>
        <sz val="11"/>
        <color rgb="FF000000"/>
        <rFont val="Trebuchet MS"/>
        <family val="2"/>
        <charset val="1"/>
      </rPr>
      <t>CIA S.A.</t>
    </r>
  </si>
  <si>
    <t>Se aguarda aclaratoria solicitada a la empresa CIA, que presentó la mejor oferta económica.</t>
  </si>
  <si>
    <t>Policía Nacional</t>
  </si>
  <si>
    <t>Adquisición de equipos para criminalística a ser utilizados por la Policía Nacional</t>
  </si>
  <si>
    <t>Precio  referencial c/ IVA -  ítem 10:</t>
  </si>
  <si>
    <t>Precio Máximo  (+ 30%)  ítem 10:</t>
  </si>
  <si>
    <t>Precio  referencial c/ IVA - Ítem 20:</t>
  </si>
  <si>
    <t>Precio Máximo  (+ 30%) ítem 20:</t>
  </si>
  <si>
    <t>ítem 10</t>
  </si>
  <si>
    <t>ïtem 20</t>
  </si>
  <si>
    <t>Grupo Horus S.A.</t>
  </si>
  <si>
    <t>No Cotiza</t>
  </si>
  <si>
    <t>Winner S.R.L:</t>
  </si>
  <si>
    <t>En fecha 27/01/2026, fue emitido el Acta Preliminar.</t>
  </si>
  <si>
    <t>SEMANA  DEL 09/02/2026 AL 13/02/2026</t>
  </si>
  <si>
    <t>En fecha 04/02/2026 fueron solicitadas documentaciones aclaratorias/complementarias a los tres oferentes. En fecha  06/02/2026 fue solicitado una segunda aclaratoria.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</si>
</sst>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sz val="11"/>
      <color rgb="FF000000"/>
      <name val="Trebuchet MS"/>
      <family val="2"/>
    </font>
    <font>
      <sz val="11"/>
      <color rgb="FF242424"/>
      <name val="Aptos Narrow"/>
    </font>
    <font>
      <b/>
      <sz val="14"/>
      <color theme="1"/>
      <name val="Aptos"/>
    </font>
    <font>
      <sz val="11"/>
      <color rgb="FF242424"/>
      <name val="Trebuchet MS"/>
      <family val="2"/>
    </font>
    <font>
      <b/>
      <sz val="18"/>
      <color theme="1"/>
      <name val="Trebuchet MS"/>
      <family val="2"/>
    </font>
    <font>
      <sz val="18"/>
      <color theme="1"/>
      <name val="Trebuchet MS"/>
      <family val="2"/>
    </font>
    <font>
      <sz val="18"/>
      <color theme="1"/>
      <name val="Calibri"/>
      <family val="2"/>
      <scheme val="minor"/>
    </font>
    <font>
      <sz val="11"/>
      <name val="Aptos Narrow"/>
      <family val="2"/>
    </font>
    <font>
      <b/>
      <sz val="11"/>
      <color rgb="FF242424"/>
      <name val="Aptos Narrow"/>
      <family val="2"/>
    </font>
    <font>
      <sz val="11"/>
      <color rgb="FF212B36"/>
      <name val="Trebuchet MS"/>
    </font>
    <font>
      <sz val="7"/>
      <color rgb="FF000000"/>
      <name val="Times New Roman"/>
      <charset val="1"/>
    </font>
    <font>
      <sz val="11"/>
      <color rgb="FF000000"/>
      <name val="Trebuchet MS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1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1" fontId="9" fillId="0" borderId="0" applyFont="0" applyFill="0" applyBorder="0" applyAlignment="0" applyProtection="0"/>
  </cellStyleXfs>
  <cellXfs count="378">
    <xf numFmtId="0" fontId="0" fillId="0" borderId="0" xfId="0"/>
    <xf numFmtId="0" fontId="2" fillId="0" borderId="0" xfId="0" applyFont="1" applyAlignment="1">
      <alignment horizontal="center"/>
    </xf>
    <xf numFmtId="0" fontId="0" fillId="0" borderId="27" xfId="0" applyBorder="1"/>
    <xf numFmtId="0" fontId="2" fillId="0" borderId="0" xfId="0" applyFont="1"/>
    <xf numFmtId="0" fontId="7" fillId="0" borderId="3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1" fontId="0" fillId="4" borderId="18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10" fillId="2" borderId="4" xfId="0" applyFont="1" applyFill="1" applyBorder="1" applyAlignment="1">
      <alignment horizontal="right" vertical="center"/>
    </xf>
    <xf numFmtId="0" fontId="10" fillId="2" borderId="4" xfId="0" applyFont="1" applyFill="1" applyBorder="1" applyAlignment="1">
      <alignment vertical="center"/>
    </xf>
    <xf numFmtId="0" fontId="3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10" fillId="4" borderId="25" xfId="0" applyFont="1" applyFill="1" applyBorder="1" applyAlignment="1">
      <alignment horizontal="right" vertical="center"/>
    </xf>
    <xf numFmtId="0" fontId="10" fillId="4" borderId="25" xfId="0" applyFont="1" applyFill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41" fontId="6" fillId="0" borderId="1" xfId="1" applyFont="1" applyBorder="1" applyAlignment="1">
      <alignment horizontal="center" vertical="center"/>
    </xf>
    <xf numFmtId="41" fontId="6" fillId="0" borderId="13" xfId="1" applyFont="1" applyBorder="1" applyAlignment="1">
      <alignment horizontal="center" vertical="center"/>
    </xf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41" fontId="0" fillId="4" borderId="71" xfId="1" applyFont="1" applyFill="1" applyBorder="1" applyAlignment="1">
      <alignment horizontal="center" vertical="center"/>
    </xf>
    <xf numFmtId="41" fontId="0" fillId="4" borderId="72" xfId="1" applyFont="1" applyFill="1" applyBorder="1" applyAlignment="1">
      <alignment horizontal="center" vertical="center"/>
    </xf>
    <xf numFmtId="41" fontId="0" fillId="4" borderId="73" xfId="1" applyFont="1" applyFill="1" applyBorder="1" applyAlignment="1">
      <alignment horizontal="center" vertical="center"/>
    </xf>
    <xf numFmtId="41" fontId="6" fillId="0" borderId="57" xfId="1" applyFont="1" applyBorder="1" applyAlignment="1">
      <alignment horizontal="center" vertical="center"/>
    </xf>
    <xf numFmtId="41" fontId="6" fillId="0" borderId="59" xfId="1" applyFont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2" fillId="0" borderId="0" xfId="0" applyFont="1"/>
    <xf numFmtId="0" fontId="12" fillId="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6" borderId="1" xfId="0" applyFont="1" applyFill="1" applyBorder="1" applyAlignment="1">
      <alignment vertical="center"/>
    </xf>
    <xf numFmtId="0" fontId="12" fillId="6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vertical="center"/>
    </xf>
    <xf numFmtId="0" fontId="13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 wrapText="1"/>
    </xf>
    <xf numFmtId="0" fontId="0" fillId="0" borderId="67" xfId="0" applyBorder="1" applyAlignment="1">
      <alignment wrapText="1"/>
    </xf>
    <xf numFmtId="0" fontId="0" fillId="0" borderId="57" xfId="0" applyBorder="1" applyAlignment="1">
      <alignment horizontal="center"/>
    </xf>
    <xf numFmtId="0" fontId="0" fillId="0" borderId="59" xfId="0" applyBorder="1" applyAlignment="1">
      <alignment horizontal="center"/>
    </xf>
    <xf numFmtId="41" fontId="6" fillId="0" borderId="3" xfId="1" applyFont="1" applyBorder="1" applyAlignment="1">
      <alignment horizontal="center" vertical="center"/>
    </xf>
    <xf numFmtId="41" fontId="6" fillId="0" borderId="24" xfId="1" applyFont="1" applyBorder="1" applyAlignment="1">
      <alignment horizontal="center" vertical="center"/>
    </xf>
    <xf numFmtId="41" fontId="0" fillId="0" borderId="64" xfId="1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6" fillId="0" borderId="30" xfId="0" applyFont="1" applyBorder="1" applyAlignment="1">
      <alignment horizontal="center" vertical="center" wrapText="1"/>
    </xf>
    <xf numFmtId="0" fontId="0" fillId="0" borderId="85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28" xfId="0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0" fillId="0" borderId="85" xfId="0" applyBorder="1" applyAlignment="1">
      <alignment wrapText="1"/>
    </xf>
    <xf numFmtId="0" fontId="0" fillId="0" borderId="86" xfId="0" applyBorder="1" applyAlignment="1">
      <alignment wrapText="1"/>
    </xf>
    <xf numFmtId="0" fontId="3" fillId="0" borderId="28" xfId="0" applyFont="1" applyBorder="1" applyAlignment="1">
      <alignment horizontal="center"/>
    </xf>
    <xf numFmtId="0" fontId="7" fillId="0" borderId="7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0" fillId="0" borderId="92" xfId="0" applyBorder="1" applyAlignment="1">
      <alignment wrapText="1"/>
    </xf>
    <xf numFmtId="0" fontId="13" fillId="10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12" fillId="0" borderId="0" xfId="0" applyFont="1" applyAlignment="1">
      <alignment wrapText="1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87" xfId="0" applyFont="1" applyBorder="1"/>
    <xf numFmtId="0" fontId="3" fillId="0" borderId="99" xfId="0" applyFont="1" applyBorder="1"/>
    <xf numFmtId="0" fontId="3" fillId="0" borderId="99" xfId="0" applyFont="1" applyBorder="1" applyAlignment="1">
      <alignment horizontal="center" vertical="center"/>
    </xf>
    <xf numFmtId="0" fontId="0" fillId="0" borderId="32" xfId="0" applyBorder="1"/>
    <xf numFmtId="0" fontId="0" fillId="0" borderId="11" xfId="0" applyBorder="1"/>
    <xf numFmtId="0" fontId="6" fillId="0" borderId="93" xfId="0" applyFont="1" applyBorder="1" applyAlignment="1">
      <alignment horizontal="center" vertical="center" wrapText="1"/>
    </xf>
    <xf numFmtId="0" fontId="0" fillId="0" borderId="7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28" xfId="0" applyFont="1" applyBorder="1" applyAlignment="1">
      <alignment horizontal="right"/>
    </xf>
    <xf numFmtId="14" fontId="10" fillId="2" borderId="46" xfId="0" applyNumberFormat="1" applyFont="1" applyFill="1" applyBorder="1" applyAlignment="1">
      <alignment vertical="center"/>
    </xf>
    <xf numFmtId="0" fontId="10" fillId="4" borderId="43" xfId="0" applyFont="1" applyFill="1" applyBorder="1" applyAlignment="1">
      <alignment vertical="center"/>
    </xf>
    <xf numFmtId="0" fontId="0" fillId="0" borderId="28" xfId="0" applyBorder="1"/>
    <xf numFmtId="0" fontId="0" fillId="0" borderId="43" xfId="0" applyBorder="1"/>
    <xf numFmtId="3" fontId="15" fillId="0" borderId="0" xfId="0" applyNumberFormat="1" applyFont="1" applyAlignment="1">
      <alignment horizontal="center"/>
    </xf>
    <xf numFmtId="0" fontId="0" fillId="0" borderId="28" xfId="0" applyBorder="1" applyAlignment="1">
      <alignment vertical="center"/>
    </xf>
    <xf numFmtId="0" fontId="0" fillId="0" borderId="50" xfId="0" applyBorder="1" applyAlignment="1">
      <alignment horizontal="right"/>
    </xf>
    <xf numFmtId="0" fontId="0" fillId="3" borderId="112" xfId="0" applyFill="1" applyBorder="1" applyAlignment="1">
      <alignment horizontal="center"/>
    </xf>
    <xf numFmtId="0" fontId="0" fillId="0" borderId="112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5" borderId="113" xfId="0" applyFill="1" applyBorder="1" applyAlignment="1">
      <alignment horizontal="center"/>
    </xf>
    <xf numFmtId="0" fontId="0" fillId="7" borderId="51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9" borderId="51" xfId="0" applyFill="1" applyBorder="1" applyAlignment="1">
      <alignment horizontal="center"/>
    </xf>
    <xf numFmtId="0" fontId="0" fillId="0" borderId="49" xfId="0" applyBorder="1"/>
    <xf numFmtId="0" fontId="16" fillId="0" borderId="30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14" fontId="16" fillId="0" borderId="7" xfId="0" applyNumberFormat="1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0" fillId="0" borderId="115" xfId="0" applyBorder="1"/>
    <xf numFmtId="3" fontId="2" fillId="0" borderId="49" xfId="0" applyNumberFormat="1" applyFont="1" applyBorder="1" applyAlignment="1">
      <alignment horizontal="center"/>
    </xf>
    <xf numFmtId="0" fontId="0" fillId="0" borderId="119" xfId="0" applyBorder="1"/>
    <xf numFmtId="0" fontId="0" fillId="0" borderId="120" xfId="0" applyBorder="1"/>
    <xf numFmtId="0" fontId="0" fillId="0" borderId="63" xfId="0" applyBorder="1"/>
    <xf numFmtId="0" fontId="3" fillId="0" borderId="104" xfId="0" applyFont="1" applyBorder="1" applyAlignment="1">
      <alignment wrapText="1"/>
    </xf>
    <xf numFmtId="14" fontId="17" fillId="6" borderId="1" xfId="0" applyNumberFormat="1" applyFont="1" applyFill="1" applyBorder="1" applyAlignment="1">
      <alignment vertical="center"/>
    </xf>
    <xf numFmtId="0" fontId="0" fillId="0" borderId="59" xfId="0" applyBorder="1"/>
    <xf numFmtId="0" fontId="16" fillId="0" borderId="128" xfId="0" applyFont="1" applyBorder="1" applyAlignment="1">
      <alignment vertical="center"/>
    </xf>
    <xf numFmtId="0" fontId="16" fillId="0" borderId="129" xfId="0" applyFont="1" applyBorder="1" applyAlignment="1">
      <alignment vertical="center"/>
    </xf>
    <xf numFmtId="0" fontId="16" fillId="0" borderId="130" xfId="0" applyFont="1" applyBorder="1" applyAlignment="1">
      <alignment vertical="center"/>
    </xf>
    <xf numFmtId="0" fontId="0" fillId="0" borderId="20" xfId="0" applyBorder="1"/>
    <xf numFmtId="0" fontId="0" fillId="0" borderId="82" xfId="0" applyBorder="1"/>
    <xf numFmtId="0" fontId="0" fillId="0" borderId="58" xfId="0" applyBorder="1" applyAlignment="1">
      <alignment horizontal="right"/>
    </xf>
    <xf numFmtId="0" fontId="0" fillId="3" borderId="76" xfId="0" applyFill="1" applyBorder="1" applyAlignment="1">
      <alignment horizontal="center"/>
    </xf>
    <xf numFmtId="0" fontId="0" fillId="0" borderId="76" xfId="0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0" fillId="4" borderId="82" xfId="0" applyFont="1" applyFill="1" applyBorder="1" applyAlignment="1">
      <alignment vertical="center"/>
    </xf>
    <xf numFmtId="0" fontId="16" fillId="0" borderId="93" xfId="0" applyFont="1" applyBorder="1" applyAlignment="1">
      <alignment vertical="center"/>
    </xf>
    <xf numFmtId="0" fontId="16" fillId="0" borderId="122" xfId="0" applyFont="1" applyBorder="1" applyAlignment="1">
      <alignment vertical="center"/>
    </xf>
    <xf numFmtId="14" fontId="16" fillId="0" borderId="122" xfId="0" applyNumberFormat="1" applyFont="1" applyBorder="1" applyAlignment="1">
      <alignment vertical="center"/>
    </xf>
    <xf numFmtId="0" fontId="16" fillId="0" borderId="121" xfId="0" applyFont="1" applyBorder="1" applyAlignment="1">
      <alignment vertical="center"/>
    </xf>
    <xf numFmtId="0" fontId="0" fillId="0" borderId="39" xfId="0" applyBorder="1"/>
    <xf numFmtId="0" fontId="0" fillId="0" borderId="38" xfId="0" applyBorder="1"/>
    <xf numFmtId="0" fontId="0" fillId="0" borderId="38" xfId="0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0" fillId="4" borderId="85" xfId="0" applyFill="1" applyBorder="1" applyAlignment="1">
      <alignment horizontal="center"/>
    </xf>
    <xf numFmtId="0" fontId="0" fillId="4" borderId="138" xfId="0" applyFill="1" applyBorder="1" applyAlignment="1">
      <alignment horizontal="center"/>
    </xf>
    <xf numFmtId="0" fontId="0" fillId="0" borderId="20" xfId="0" applyBorder="1" applyAlignment="1">
      <alignment vertical="center"/>
    </xf>
    <xf numFmtId="0" fontId="0" fillId="9" borderId="13" xfId="0" applyFill="1" applyBorder="1" applyAlignment="1">
      <alignment horizontal="center"/>
    </xf>
    <xf numFmtId="0" fontId="7" fillId="0" borderId="122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0" fillId="4" borderId="86" xfId="0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143" xfId="0" applyBorder="1"/>
    <xf numFmtId="0" fontId="3" fillId="0" borderId="144" xfId="0" applyFont="1" applyBorder="1" applyAlignment="1">
      <alignment wrapText="1"/>
    </xf>
    <xf numFmtId="14" fontId="10" fillId="2" borderId="85" xfId="0" applyNumberFormat="1" applyFont="1" applyFill="1" applyBorder="1" applyAlignment="1">
      <alignment vertical="center"/>
    </xf>
    <xf numFmtId="20" fontId="18" fillId="2" borderId="4" xfId="0" applyNumberFormat="1" applyFont="1" applyFill="1" applyBorder="1" applyAlignment="1">
      <alignment horizontal="left" vertical="center" wrapText="1"/>
    </xf>
    <xf numFmtId="14" fontId="18" fillId="2" borderId="4" xfId="0" applyNumberFormat="1" applyFont="1" applyFill="1" applyBorder="1" applyAlignment="1">
      <alignment horizontal="center" vertical="center" wrapText="1"/>
    </xf>
    <xf numFmtId="14" fontId="18" fillId="2" borderId="4" xfId="0" applyNumberFormat="1" applyFont="1" applyFill="1" applyBorder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41" fontId="1" fillId="4" borderId="19" xfId="1" applyFont="1" applyFill="1" applyBorder="1" applyAlignment="1">
      <alignment horizontal="center" vertical="center"/>
    </xf>
    <xf numFmtId="41" fontId="1" fillId="4" borderId="75" xfId="1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/>
    </xf>
    <xf numFmtId="0" fontId="1" fillId="0" borderId="78" xfId="0" applyFont="1" applyBorder="1" applyAlignment="1">
      <alignment horizontal="center"/>
    </xf>
    <xf numFmtId="0" fontId="1" fillId="0" borderId="80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84" xfId="0" applyFont="1" applyBorder="1" applyAlignment="1">
      <alignment horizontal="center"/>
    </xf>
    <xf numFmtId="0" fontId="1" fillId="0" borderId="86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96" xfId="0" applyFont="1" applyBorder="1" applyAlignment="1">
      <alignment horizontal="center"/>
    </xf>
    <xf numFmtId="0" fontId="1" fillId="0" borderId="83" xfId="0" applyFont="1" applyBorder="1" applyAlignment="1">
      <alignment horizontal="center"/>
    </xf>
    <xf numFmtId="0" fontId="1" fillId="0" borderId="89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1" fillId="0" borderId="84" xfId="0" applyFont="1" applyBorder="1" applyAlignment="1">
      <alignment wrapText="1"/>
    </xf>
    <xf numFmtId="3" fontId="1" fillId="4" borderId="85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41" fontId="1" fillId="0" borderId="19" xfId="1" applyFont="1" applyFill="1" applyBorder="1" applyAlignment="1">
      <alignment horizontal="center" vertical="center"/>
    </xf>
    <xf numFmtId="0" fontId="22" fillId="0" borderId="99" xfId="0" applyFont="1" applyBorder="1"/>
    <xf numFmtId="0" fontId="14" fillId="0" borderId="53" xfId="0" applyFont="1" applyBorder="1"/>
    <xf numFmtId="0" fontId="3" fillId="0" borderId="4" xfId="0" applyFont="1" applyBorder="1" applyAlignment="1">
      <alignment vertical="center" wrapText="1"/>
    </xf>
    <xf numFmtId="0" fontId="1" fillId="0" borderId="111" xfId="0" applyFont="1" applyBorder="1" applyAlignment="1">
      <alignment wrapText="1"/>
    </xf>
    <xf numFmtId="0" fontId="1" fillId="0" borderId="7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25" fillId="11" borderId="96" xfId="0" applyFont="1" applyFill="1" applyBorder="1"/>
    <xf numFmtId="0" fontId="25" fillId="11" borderId="83" xfId="0" applyFont="1" applyFill="1" applyBorder="1"/>
    <xf numFmtId="0" fontId="0" fillId="0" borderId="83" xfId="0" applyBorder="1" applyAlignment="1">
      <alignment wrapText="1"/>
    </xf>
    <xf numFmtId="0" fontId="0" fillId="0" borderId="89" xfId="0" applyBorder="1" applyAlignment="1">
      <alignment wrapText="1"/>
    </xf>
    <xf numFmtId="0" fontId="25" fillId="11" borderId="97" xfId="0" applyFont="1" applyFill="1" applyBorder="1"/>
    <xf numFmtId="0" fontId="25" fillId="11" borderId="88" xfId="0" applyFont="1" applyFill="1" applyBorder="1"/>
    <xf numFmtId="0" fontId="0" fillId="0" borderId="88" xfId="0" applyBorder="1" applyAlignment="1">
      <alignment wrapText="1"/>
    </xf>
    <xf numFmtId="14" fontId="10" fillId="2" borderId="4" xfId="0" applyNumberFormat="1" applyFont="1" applyFill="1" applyBorder="1" applyAlignment="1">
      <alignment vertical="center"/>
    </xf>
    <xf numFmtId="0" fontId="0" fillId="0" borderId="52" xfId="0" applyBorder="1" applyAlignment="1">
      <alignment horizontal="center" vertical="center" wrapText="1"/>
    </xf>
    <xf numFmtId="0" fontId="0" fillId="0" borderId="100" xfId="0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0" fontId="3" fillId="0" borderId="12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right"/>
    </xf>
    <xf numFmtId="0" fontId="0" fillId="0" borderId="81" xfId="0" applyBorder="1" applyAlignment="1">
      <alignment horizontal="center" vertical="center" wrapText="1"/>
    </xf>
    <xf numFmtId="3" fontId="4" fillId="0" borderId="59" xfId="0" applyNumberFormat="1" applyFont="1" applyBorder="1" applyAlignment="1">
      <alignment horizontal="center" vertical="center" wrapText="1"/>
    </xf>
    <xf numFmtId="0" fontId="25" fillId="11" borderId="139" xfId="0" applyFont="1" applyFill="1" applyBorder="1"/>
    <xf numFmtId="0" fontId="25" fillId="11" borderId="140" xfId="0" applyFont="1" applyFill="1" applyBorder="1"/>
    <xf numFmtId="0" fontId="25" fillId="11" borderId="141" xfId="0" applyFont="1" applyFill="1" applyBorder="1"/>
    <xf numFmtId="0" fontId="1" fillId="0" borderId="146" xfId="0" applyFont="1" applyBorder="1" applyAlignment="1">
      <alignment horizontal="center"/>
    </xf>
    <xf numFmtId="0" fontId="1" fillId="0" borderId="125" xfId="0" applyFont="1" applyBorder="1" applyAlignment="1">
      <alignment horizontal="center"/>
    </xf>
    <xf numFmtId="0" fontId="1" fillId="0" borderId="123" xfId="0" applyFont="1" applyBorder="1" applyAlignment="1">
      <alignment horizontal="center"/>
    </xf>
    <xf numFmtId="0" fontId="0" fillId="0" borderId="142" xfId="0" applyBorder="1"/>
    <xf numFmtId="3" fontId="2" fillId="0" borderId="136" xfId="0" applyNumberFormat="1" applyFont="1" applyBorder="1" applyAlignment="1">
      <alignment horizontal="center"/>
    </xf>
    <xf numFmtId="3" fontId="2" fillId="0" borderId="145" xfId="0" applyNumberFormat="1" applyFont="1" applyBorder="1" applyAlignment="1">
      <alignment horizontal="center"/>
    </xf>
    <xf numFmtId="0" fontId="7" fillId="0" borderId="81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94" xfId="0" applyFont="1" applyBorder="1" applyAlignment="1">
      <alignment horizontal="center"/>
    </xf>
    <xf numFmtId="0" fontId="0" fillId="0" borderId="47" xfId="0" applyBorder="1" applyAlignment="1">
      <alignment wrapText="1"/>
    </xf>
    <xf numFmtId="0" fontId="1" fillId="0" borderId="147" xfId="0" applyFont="1" applyBorder="1" applyAlignment="1">
      <alignment horizontal="center"/>
    </xf>
    <xf numFmtId="0" fontId="3" fillId="0" borderId="95" xfId="0" applyFont="1" applyBorder="1" applyAlignment="1">
      <alignment horizontal="center"/>
    </xf>
    <xf numFmtId="0" fontId="0" fillId="0" borderId="131" xfId="0" applyBorder="1"/>
    <xf numFmtId="0" fontId="0" fillId="0" borderId="136" xfId="0" applyBorder="1"/>
    <xf numFmtId="14" fontId="3" fillId="2" borderId="57" xfId="0" applyNumberFormat="1" applyFont="1" applyFill="1" applyBorder="1" applyAlignment="1">
      <alignment vertical="center"/>
    </xf>
    <xf numFmtId="0" fontId="0" fillId="0" borderId="106" xfId="0" applyBorder="1" applyAlignment="1">
      <alignment horizontal="right"/>
    </xf>
    <xf numFmtId="0" fontId="0" fillId="3" borderId="108" xfId="0" applyFill="1" applyBorder="1" applyAlignment="1">
      <alignment horizontal="center"/>
    </xf>
    <xf numFmtId="0" fontId="0" fillId="0" borderId="108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5" borderId="62" xfId="0" applyFill="1" applyBorder="1" applyAlignment="1">
      <alignment horizontal="center"/>
    </xf>
    <xf numFmtId="0" fontId="0" fillId="7" borderId="107" xfId="0" applyFill="1" applyBorder="1" applyAlignment="1">
      <alignment horizontal="center"/>
    </xf>
    <xf numFmtId="0" fontId="0" fillId="2" borderId="107" xfId="0" applyFill="1" applyBorder="1" applyAlignment="1">
      <alignment horizontal="center"/>
    </xf>
    <xf numFmtId="0" fontId="0" fillId="9" borderId="107" xfId="0" applyFill="1" applyBorder="1" applyAlignment="1">
      <alignment horizontal="center"/>
    </xf>
    <xf numFmtId="0" fontId="0" fillId="0" borderId="61" xfId="0" applyBorder="1"/>
    <xf numFmtId="0" fontId="2" fillId="0" borderId="56" xfId="0" applyFont="1" applyBorder="1" applyAlignment="1">
      <alignment vertical="center"/>
    </xf>
    <xf numFmtId="0" fontId="3" fillId="0" borderId="85" xfId="0" applyFont="1" applyBorder="1" applyAlignment="1">
      <alignment vertical="center" wrapText="1"/>
    </xf>
    <xf numFmtId="0" fontId="2" fillId="0" borderId="56" xfId="0" applyFont="1" applyBorder="1"/>
    <xf numFmtId="14" fontId="10" fillId="0" borderId="57" xfId="0" applyNumberFormat="1" applyFont="1" applyBorder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10" fillId="4" borderId="0" xfId="0" applyFont="1" applyFill="1" applyAlignment="1">
      <alignment vertical="center"/>
    </xf>
    <xf numFmtId="3" fontId="4" fillId="0" borderId="82" xfId="0" applyNumberFormat="1" applyFont="1" applyBorder="1" applyAlignment="1">
      <alignment horizontal="center" vertical="center" wrapText="1"/>
    </xf>
    <xf numFmtId="41" fontId="21" fillId="0" borderId="0" xfId="1" applyFont="1" applyFill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41" fontId="1" fillId="4" borderId="102" xfId="1" applyFont="1" applyFill="1" applyBorder="1" applyAlignment="1">
      <alignment horizontal="center" vertical="center"/>
    </xf>
    <xf numFmtId="41" fontId="1" fillId="4" borderId="148" xfId="1" applyFont="1" applyFill="1" applyBorder="1" applyAlignment="1">
      <alignment horizontal="center" vertical="center"/>
    </xf>
    <xf numFmtId="3" fontId="1" fillId="4" borderId="149" xfId="0" applyNumberFormat="1" applyFont="1" applyFill="1" applyBorder="1" applyAlignment="1">
      <alignment horizontal="center"/>
    </xf>
    <xf numFmtId="0" fontId="14" fillId="0" borderId="56" xfId="0" applyFont="1" applyBorder="1"/>
    <xf numFmtId="0" fontId="0" fillId="0" borderId="58" xfId="0" applyBorder="1" applyAlignment="1">
      <alignment wrapText="1"/>
    </xf>
    <xf numFmtId="0" fontId="14" fillId="0" borderId="74" xfId="0" applyFont="1" applyBorder="1"/>
    <xf numFmtId="0" fontId="23" fillId="0" borderId="0" xfId="0" applyFont="1"/>
    <xf numFmtId="14" fontId="3" fillId="0" borderId="57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41" fontId="21" fillId="0" borderId="1" xfId="1" applyFont="1" applyFill="1" applyBorder="1" applyAlignment="1">
      <alignment horizontal="center"/>
    </xf>
    <xf numFmtId="41" fontId="1" fillId="4" borderId="1" xfId="1" applyFont="1" applyFill="1" applyBorder="1" applyAlignment="1">
      <alignment horizontal="center" vertical="center"/>
    </xf>
    <xf numFmtId="0" fontId="0" fillId="0" borderId="1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8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4" borderId="13" xfId="1" applyFont="1" applyFill="1" applyBorder="1" applyAlignment="1">
      <alignment horizontal="center" vertical="center"/>
    </xf>
    <xf numFmtId="0" fontId="0" fillId="0" borderId="119" xfId="0" applyBorder="1" applyAlignment="1">
      <alignment horizontal="left" vertical="center" indent="1"/>
    </xf>
    <xf numFmtId="41" fontId="1" fillId="0" borderId="1" xfId="1" applyFont="1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41" fontId="1" fillId="4" borderId="57" xfId="1" applyFont="1" applyFill="1" applyBorder="1" applyAlignment="1">
      <alignment horizontal="center" vertical="center"/>
    </xf>
    <xf numFmtId="41" fontId="0" fillId="4" borderId="57" xfId="1" applyFont="1" applyFill="1" applyBorder="1" applyAlignment="1">
      <alignment horizontal="center" vertical="center"/>
    </xf>
    <xf numFmtId="41" fontId="0" fillId="4" borderId="59" xfId="1" applyFont="1" applyFill="1" applyBorder="1" applyAlignment="1">
      <alignment horizontal="center" vertical="center"/>
    </xf>
    <xf numFmtId="3" fontId="15" fillId="2" borderId="0" xfId="0" applyNumberFormat="1" applyFont="1" applyFill="1" applyAlignment="1">
      <alignment horizontal="right"/>
    </xf>
    <xf numFmtId="41" fontId="0" fillId="2" borderId="72" xfId="1" applyFont="1" applyFill="1" applyBorder="1" applyAlignment="1">
      <alignment horizontal="center" vertical="center"/>
    </xf>
    <xf numFmtId="41" fontId="0" fillId="7" borderId="98" xfId="1" applyFont="1" applyFill="1" applyBorder="1" applyAlignment="1">
      <alignment horizontal="right" vertical="top"/>
    </xf>
    <xf numFmtId="3" fontId="0" fillId="7" borderId="56" xfId="0" applyNumberFormat="1" applyFill="1" applyBorder="1"/>
    <xf numFmtId="41" fontId="0" fillId="7" borderId="56" xfId="1" applyFont="1" applyFill="1" applyBorder="1" applyAlignment="1">
      <alignment horizontal="center" vertical="center"/>
    </xf>
    <xf numFmtId="0" fontId="1" fillId="5" borderId="65" xfId="0" applyFont="1" applyFill="1" applyBorder="1" applyAlignment="1">
      <alignment horizontal="center"/>
    </xf>
    <xf numFmtId="0" fontId="0" fillId="0" borderId="152" xfId="0" applyBorder="1" applyAlignment="1">
      <alignment horizontal="center" vertical="center" wrapText="1"/>
    </xf>
    <xf numFmtId="0" fontId="0" fillId="0" borderId="153" xfId="0" applyBorder="1" applyAlignment="1">
      <alignment horizontal="center" vertical="center" wrapText="1"/>
    </xf>
    <xf numFmtId="0" fontId="0" fillId="0" borderId="154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7" fillId="0" borderId="84" xfId="0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1" fillId="0" borderId="85" xfId="0" applyFont="1" applyBorder="1" applyAlignment="1">
      <alignment horizontal="center"/>
    </xf>
    <xf numFmtId="41" fontId="0" fillId="2" borderId="58" xfId="1" applyFont="1" applyFill="1" applyBorder="1" applyAlignment="1">
      <alignment horizontal="center" vertical="center"/>
    </xf>
    <xf numFmtId="0" fontId="3" fillId="0" borderId="56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2" fillId="0" borderId="60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3" fontId="4" fillId="0" borderId="124" xfId="0" applyNumberFormat="1" applyFont="1" applyBorder="1" applyAlignment="1">
      <alignment horizontal="center" vertical="center" wrapText="1"/>
    </xf>
    <xf numFmtId="3" fontId="4" fillId="0" borderId="125" xfId="0" applyNumberFormat="1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32" xfId="0" applyFont="1" applyBorder="1" applyAlignment="1">
      <alignment horizontal="center" vertical="center" wrapText="1"/>
    </xf>
    <xf numFmtId="0" fontId="3" fillId="0" borderId="126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1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33" xfId="0" applyBorder="1" applyAlignment="1">
      <alignment horizontal="left"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16" xfId="0" applyFont="1" applyBorder="1" applyAlignment="1">
      <alignment horizontal="center"/>
    </xf>
    <xf numFmtId="0" fontId="2" fillId="0" borderId="117" xfId="0" applyFont="1" applyBorder="1" applyAlignment="1">
      <alignment horizontal="center"/>
    </xf>
    <xf numFmtId="0" fontId="2" fillId="0" borderId="118" xfId="0" applyFont="1" applyBorder="1" applyAlignment="1">
      <alignment horizontal="center"/>
    </xf>
    <xf numFmtId="0" fontId="3" fillId="0" borderId="65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37" xfId="0" applyFont="1" applyBorder="1" applyAlignment="1">
      <alignment horizontal="center" vertical="center" wrapText="1"/>
    </xf>
    <xf numFmtId="0" fontId="6" fillId="0" borderId="116" xfId="0" applyFont="1" applyBorder="1" applyAlignment="1">
      <alignment horizontal="center"/>
    </xf>
    <xf numFmtId="0" fontId="6" fillId="0" borderId="117" xfId="0" applyFont="1" applyBorder="1" applyAlignment="1">
      <alignment horizontal="center"/>
    </xf>
    <xf numFmtId="0" fontId="6" fillId="0" borderId="118" xfId="0" applyFont="1" applyBorder="1" applyAlignment="1">
      <alignment horizontal="center"/>
    </xf>
    <xf numFmtId="0" fontId="3" fillId="0" borderId="7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110" xfId="0" applyFont="1" applyBorder="1" applyAlignment="1">
      <alignment horizontal="center" vertical="center" wrapText="1"/>
    </xf>
    <xf numFmtId="0" fontId="4" fillId="0" borderId="122" xfId="0" applyFont="1" applyBorder="1" applyAlignment="1">
      <alignment horizontal="center" vertical="center" wrapText="1"/>
    </xf>
    <xf numFmtId="0" fontId="4" fillId="0" borderId="151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6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0" fillId="0" borderId="4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2" xfId="0" applyBorder="1" applyAlignment="1">
      <alignment horizontal="left" vertical="center"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1" xfId="0" applyFont="1" applyBorder="1" applyAlignment="1">
      <alignment horizontal="center"/>
    </xf>
    <xf numFmtId="0" fontId="2" fillId="0" borderId="127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4" fillId="0" borderId="81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6" fillId="0" borderId="79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2" fillId="0" borderId="121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113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13" xfId="0" applyFont="1" applyBorder="1" applyAlignment="1">
      <alignment horizontal="center" vertical="center" wrapText="1"/>
    </xf>
    <xf numFmtId="0" fontId="3" fillId="0" borderId="135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3" fillId="0" borderId="2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2" fillId="0" borderId="44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45" xfId="0" applyFont="1" applyBorder="1" applyAlignment="1">
      <alignment horizontal="center"/>
    </xf>
    <xf numFmtId="0" fontId="3" fillId="0" borderId="114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0" fontId="0" fillId="0" borderId="8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23" fillId="0" borderId="103" xfId="0" applyFont="1" applyBorder="1" applyAlignment="1">
      <alignment horizontal="left" vertical="center"/>
    </xf>
    <xf numFmtId="0" fontId="23" fillId="0" borderId="104" xfId="0" applyFont="1" applyBorder="1" applyAlignment="1">
      <alignment horizontal="left" vertical="center"/>
    </xf>
    <xf numFmtId="0" fontId="2" fillId="0" borderId="105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09" xfId="0" applyFont="1" applyBorder="1" applyAlignment="1">
      <alignment horizontal="center"/>
    </xf>
    <xf numFmtId="0" fontId="3" fillId="0" borderId="142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0" borderId="121" xfId="0" applyFont="1" applyBorder="1" applyAlignment="1">
      <alignment horizontal="center" vertical="center" wrapText="1"/>
    </xf>
    <xf numFmtId="0" fontId="0" fillId="0" borderId="100" xfId="0" applyBorder="1" applyAlignment="1">
      <alignment horizontal="center" vertical="center" wrapText="1"/>
    </xf>
    <xf numFmtId="0" fontId="0" fillId="0" borderId="9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0" borderId="93" xfId="0" applyFont="1" applyBorder="1" applyAlignment="1">
      <alignment horizontal="center" vertical="center"/>
    </xf>
    <xf numFmtId="0" fontId="6" fillId="0" borderId="122" xfId="0" applyFont="1" applyBorder="1" applyAlignment="1">
      <alignment horizontal="center" vertical="center"/>
    </xf>
    <xf numFmtId="0" fontId="6" fillId="0" borderId="12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2" fillId="0" borderId="13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37" xfId="0" applyFont="1" applyBorder="1" applyAlignment="1">
      <alignment horizontal="center"/>
    </xf>
    <xf numFmtId="0" fontId="3" fillId="0" borderId="30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143" xfId="0" applyBorder="1" applyAlignment="1">
      <alignment horizontal="center" vertical="center" wrapText="1"/>
    </xf>
  </cellXfs>
  <cellStyles count="2">
    <cellStyle name="Millares [0]" xfId="1" builtinId="6"/>
    <cellStyle name="Normal" xfId="0" builtinId="0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990D-6BFB-AE40-B576-7B9710BDDEA3}">
  <sheetPr>
    <pageSetUpPr fitToPage="1"/>
  </sheetPr>
  <dimension ref="A1:I18"/>
  <sheetViews>
    <sheetView topLeftCell="A5" zoomScale="68" zoomScaleNormal="50" workbookViewId="0">
      <selection activeCell="F10" sqref="F10"/>
    </sheetView>
  </sheetViews>
  <sheetFormatPr baseColWidth="10" defaultColWidth="29.5703125" defaultRowHeight="16.5" x14ac:dyDescent="0.3"/>
  <cols>
    <col min="1" max="1" width="11.42578125" style="28" customWidth="1"/>
    <col min="2" max="2" width="20.42578125" style="28" customWidth="1"/>
    <col min="3" max="3" width="78.42578125" style="63" customWidth="1"/>
    <col min="4" max="4" width="27.5703125" style="27" customWidth="1"/>
    <col min="5" max="5" width="38.5703125" style="27" customWidth="1"/>
    <col min="6" max="6" width="35.5703125" style="28" customWidth="1"/>
  </cols>
  <sheetData>
    <row r="1" spans="1:9" s="142" customFormat="1" ht="23.25" x14ac:dyDescent="0.25">
      <c r="A1" s="136">
        <v>0.42499999999999999</v>
      </c>
      <c r="B1" s="137">
        <v>46062</v>
      </c>
      <c r="C1" s="138" t="s">
        <v>104</v>
      </c>
      <c r="D1" s="139"/>
      <c r="E1" s="140"/>
      <c r="F1" s="141"/>
    </row>
    <row r="2" spans="1:9" s="31" customFormat="1" x14ac:dyDescent="0.25">
      <c r="A2" s="36"/>
      <c r="B2" s="37" t="s">
        <v>0</v>
      </c>
      <c r="C2" s="60" t="s">
        <v>1</v>
      </c>
      <c r="D2" s="38" t="s">
        <v>2</v>
      </c>
      <c r="E2" s="38" t="s">
        <v>3</v>
      </c>
      <c r="F2" s="38" t="s">
        <v>4</v>
      </c>
    </row>
    <row r="3" spans="1:9" s="31" customFormat="1" ht="45.6" customHeight="1" x14ac:dyDescent="0.25">
      <c r="A3" s="32" t="s">
        <v>5</v>
      </c>
      <c r="B3" s="32" t="s">
        <v>6</v>
      </c>
      <c r="C3" s="61" t="str">
        <f>'CLP 026_2025'!C4</f>
        <v>Contratación de Servicios de provisión e instalación de góndolas y mobiliarios incluyendo las obras y adecuaciones para la reubicación de los locales comerciales en el Centro Cultural del Puerto de Asunción.</v>
      </c>
      <c r="D3" s="29" t="str">
        <f>'CLP 026_2025'!C5</f>
        <v>Desierto</v>
      </c>
      <c r="E3" s="33" t="str">
        <f>'CLP 026_2025'!H5</f>
        <v>RDE</v>
      </c>
      <c r="F3" s="102" t="str" cm="1">
        <f t="array" ref="F3:I3">'CLP 026_2025'!G3:J3</f>
        <v>SECRETARIA NACIONAL DE CULTURA</v>
      </c>
      <c r="G3" s="31">
        <v>0</v>
      </c>
      <c r="H3" s="31">
        <v>0</v>
      </c>
      <c r="I3" s="31">
        <v>0</v>
      </c>
    </row>
    <row r="4" spans="1:9" s="31" customFormat="1" ht="40.5" customHeight="1" x14ac:dyDescent="0.25">
      <c r="A4" s="32" t="s">
        <v>5</v>
      </c>
      <c r="B4" s="32" t="s">
        <v>7</v>
      </c>
      <c r="C4" s="61" t="str">
        <f>'CLP 027_2025'!C4</f>
        <v>Adquisición de mobiliarios didácticos para equipamiento de Bibliobuses</v>
      </c>
      <c r="D4" s="29" t="str">
        <f>'CLP 027_2025'!C5</f>
        <v>Evaluación Formal/Técnica (Sobre 2)</v>
      </c>
      <c r="E4" s="33" t="str">
        <f>'CLP 027_2025'!H5</f>
        <v>APERTURA 2 - Económica</v>
      </c>
      <c r="F4" s="102" t="str">
        <f>'CLP 027_2025'!G3</f>
        <v>MINNA Equipamientos</v>
      </c>
    </row>
    <row r="5" spans="1:9" s="31" customFormat="1" ht="33" x14ac:dyDescent="0.25">
      <c r="A5" s="32" t="s">
        <v>5</v>
      </c>
      <c r="B5" s="32" t="s">
        <v>8</v>
      </c>
      <c r="C5" s="61" t="str">
        <f>'CLP 028_2025'!C4</f>
        <v>Adquisición de materiales recreativos y juguetes para el equipamiento de los Bibliobuses.</v>
      </c>
      <c r="D5" s="29" t="str">
        <f>'CLP 028_2025'!C5</f>
        <v>Publicado</v>
      </c>
      <c r="E5" s="33" t="str">
        <f>'CLP 028_2025'!H5</f>
        <v>APERTURA 1 - SUSTANCIAL / FORMAL</v>
      </c>
      <c r="F5" s="102" t="str">
        <f>'CLP 028_2025'!G3</f>
        <v>MINNA Equipamientos</v>
      </c>
    </row>
    <row r="6" spans="1:9" s="31" customFormat="1" ht="33" customHeight="1" x14ac:dyDescent="0.25">
      <c r="A6" s="32" t="s">
        <v>5</v>
      </c>
      <c r="B6" s="32" t="s">
        <v>9</v>
      </c>
      <c r="C6" s="61" t="str">
        <f>'CLP 029_2025'!C4</f>
        <v>Adquisición de libros didácticos para equipamiento de Bibliobuses en el marco del Proyecto</v>
      </c>
      <c r="D6" s="29" t="str">
        <f>'CLP 029_2025'!C5</f>
        <v>Evaluación Formal/Técnica (Sobre 2)</v>
      </c>
      <c r="E6" s="33" t="str">
        <f>'CLP 029_2025'!H5</f>
        <v>APERTURA 2 - Económica</v>
      </c>
      <c r="F6" s="102" t="str">
        <f>'CLP 029_2025'!G3</f>
        <v>MINNA Equipamientos</v>
      </c>
    </row>
    <row r="7" spans="1:9" s="31" customFormat="1" ht="33" customHeight="1" x14ac:dyDescent="0.25">
      <c r="A7" s="32" t="s">
        <v>10</v>
      </c>
      <c r="B7" s="32" t="s">
        <v>11</v>
      </c>
      <c r="C7" s="61" t="str">
        <f>'CLP 001_2026'!C4</f>
        <v>Adquisición de materiales de jardinería para los Centros de Atención Integral (CAIPIS)</v>
      </c>
      <c r="D7" s="29" t="str">
        <f>'CLP 001_2026'!C5</f>
        <v>Publicado</v>
      </c>
      <c r="E7" s="33" t="str">
        <f>'CLP 001_2026'!H5</f>
        <v>APERTURA 1 - SUSTANCIAL / FORMAL</v>
      </c>
      <c r="F7" s="102" t="str">
        <f>'CLP 001_2026'!G3</f>
        <v>MINNA Equipamientos</v>
      </c>
    </row>
    <row r="8" spans="1:9" s="31" customFormat="1" ht="33" customHeight="1" x14ac:dyDescent="0.25">
      <c r="A8" s="32" t="s">
        <v>10</v>
      </c>
      <c r="B8" s="32" t="s">
        <v>12</v>
      </c>
      <c r="C8" s="61" t="str">
        <f>'CLP 002_2026'!C4</f>
        <v>Adquisición de utensilios de cocina para los Centros de Atención Integral (CAIPIS)</v>
      </c>
      <c r="D8" s="29" t="str">
        <f>'CLP 002_2026'!C5</f>
        <v>Publicado</v>
      </c>
      <c r="E8" s="33" t="str">
        <f>'CLP 002_2026'!H5</f>
        <v>APERTURA 1 - SUSTANCIAL / FORMAL</v>
      </c>
      <c r="F8" s="102" t="str">
        <f>'CLP 002_2026'!G3</f>
        <v>MINNA Equipamientos</v>
      </c>
    </row>
    <row r="9" spans="1:9" ht="27.95" customHeight="1" x14ac:dyDescent="0.25">
      <c r="A9" s="34" t="s">
        <v>13</v>
      </c>
      <c r="B9" s="34" t="s">
        <v>14</v>
      </c>
      <c r="C9" s="62" t="str">
        <f>'CPP 035 2025'!C4</f>
        <v>Adquisición de equipos para criminalística a ser utilizados por la Policía Nacional</v>
      </c>
      <c r="D9" s="30" t="str">
        <f>'CPP 035 2025'!C5</f>
        <v>Adjudicado</v>
      </c>
      <c r="E9" s="35" t="str">
        <f>'CPP 035 2025'!H5</f>
        <v>RDE</v>
      </c>
      <c r="F9" s="34" t="str">
        <f>'CPP 035 2025'!F3</f>
        <v>Policía Nacional</v>
      </c>
    </row>
    <row r="10" spans="1:9" ht="50.1" customHeight="1" x14ac:dyDescent="0.25">
      <c r="A10" s="34" t="s">
        <v>13</v>
      </c>
      <c r="B10" s="34" t="s">
        <v>15</v>
      </c>
      <c r="C10" s="62" t="str">
        <f>'CPP 036 2025'!C4</f>
        <v>Contratación de servicios de fiscalización de la elaboración del proyecto ejecutivo y fiscalización de la ejecución de obras civiles para 2 Centros Educativos en los Departamentos Paraguarí e Itapúa</v>
      </c>
      <c r="D10" s="30" t="str">
        <f>'CPP 036 2025'!C5</f>
        <v>Adjudicado</v>
      </c>
      <c r="E10" s="35" t="str">
        <f>'CPP 036 2025'!H5</f>
        <v>RDE</v>
      </c>
      <c r="F10" s="34" t="str">
        <f>'CPP 036 2025'!F3</f>
        <v>MOPC - CENTROS EDUCATIVOS</v>
      </c>
    </row>
    <row r="11" spans="1:9" ht="49.5" x14ac:dyDescent="0.25">
      <c r="A11" s="34" t="s">
        <v>13</v>
      </c>
      <c r="B11" s="34" t="s">
        <v>16</v>
      </c>
      <c r="C11" s="62" t="str">
        <f>'CPP 037_2025'!C4</f>
        <v>Contratación de servicios de provisión e instalación del Sistema de Combate contra Incendio para los Centros de Atención Integral a la Primera Infancia del Territorio Nacional (CAIPI)</v>
      </c>
      <c r="D11" s="30" t="str">
        <f>'CPP 037_2025'!C5</f>
        <v>Publicado</v>
      </c>
      <c r="E11" s="35" t="str">
        <f>'CPP 037_2025'!H5</f>
        <v>APERTURA 1 - SUSTANCIAL / FORMAL</v>
      </c>
      <c r="F11" s="34" t="str">
        <f>'CPP 037_2025'!F3</f>
        <v>MINNA OBRAS</v>
      </c>
    </row>
    <row r="12" spans="1:9" ht="30.75" customHeight="1" x14ac:dyDescent="0.25">
      <c r="A12" s="34" t="s">
        <v>13</v>
      </c>
      <c r="B12" s="34" t="s">
        <v>17</v>
      </c>
      <c r="C12" s="62" t="str">
        <f>'CPP 001_2026'!C4</f>
        <v>Adquisición de equipos informáticos y equipamiento para los Centros de Atención Integral (CAIPIS)</v>
      </c>
      <c r="D12" s="30" t="str">
        <f>'CPP 001_2026'!C5</f>
        <v>Publicado</v>
      </c>
      <c r="E12" s="35" t="str">
        <f>'CPP 001_2026'!H5</f>
        <v>APERTURA 1 - SUSTANCIAL / FORMAL</v>
      </c>
      <c r="F12" s="34" t="str">
        <f>'CPP 001_2026'!F3</f>
        <v>MINNA Equipamientos</v>
      </c>
    </row>
    <row r="13" spans="1:9" ht="33" x14ac:dyDescent="0.25">
      <c r="A13" s="34" t="s">
        <v>13</v>
      </c>
      <c r="B13" s="34" t="s">
        <v>18</v>
      </c>
      <c r="C13" s="62" t="str">
        <f>'CPP 002_2026'!C4</f>
        <v>Adquisición de Electrodomésticos para los Centros de Atención Integral (CAIPIS),</v>
      </c>
      <c r="D13" s="30" t="str">
        <f>'CPP 002_2026'!C5</f>
        <v>Publicado</v>
      </c>
      <c r="E13" s="35" t="str">
        <f>'CPP 002_2026'!H5</f>
        <v>APERTURA 1 - SUSTANCIAL / FORMAL</v>
      </c>
      <c r="F13" s="34" t="str">
        <f>'CPP 002_2026'!F3</f>
        <v>MINNA Equipamientos</v>
      </c>
    </row>
    <row r="14" spans="1:9" x14ac:dyDescent="0.25">
      <c r="A14" s="34" t="s">
        <v>13</v>
      </c>
      <c r="B14" s="34" t="s">
        <v>19</v>
      </c>
      <c r="C14" s="62" t="str">
        <f>'CPP 003_2026'!C4</f>
        <v>Adquisición de libros didácticos para los Centros de Atención Integral (CAIPIS)</v>
      </c>
      <c r="D14" s="30" t="str">
        <f>'CPP 003_2026'!C5</f>
        <v>Publicado</v>
      </c>
      <c r="E14" s="35" t="str">
        <f>'CPP 003_2026'!H5</f>
        <v>APERTURA 1 - SUSTANCIAL / FORMAL</v>
      </c>
      <c r="F14" s="34" t="str">
        <f>'CPP 003_2026'!F3</f>
        <v>MINNA Equipamientos</v>
      </c>
    </row>
    <row r="15" spans="1:9" ht="33" x14ac:dyDescent="0.25">
      <c r="A15" s="34" t="s">
        <v>13</v>
      </c>
      <c r="B15" s="34" t="s">
        <v>20</v>
      </c>
      <c r="C15" s="62" t="str">
        <f>'CPP 004_2026'!C4</f>
        <v>Adquisición de parques infantiles para los Centros de Atención Integral (CAIPIS).</v>
      </c>
      <c r="D15" s="30" t="str">
        <f>'CPP 004_2026'!C5</f>
        <v>Publicado</v>
      </c>
      <c r="E15" s="35" t="str">
        <f>'CPP 004_2026'!H5</f>
        <v>APERTURA 1 - SUSTANCIAL / FORMAL</v>
      </c>
      <c r="F15" s="34" t="str">
        <f>'CPP 004_2026'!G3</f>
        <v>MINNA Equipamientos</v>
      </c>
    </row>
    <row r="16" spans="1:9" ht="33" x14ac:dyDescent="0.25">
      <c r="A16" s="34" t="s">
        <v>13</v>
      </c>
      <c r="B16" s="34" t="s">
        <v>21</v>
      </c>
      <c r="C16" s="62" t="str">
        <f>'CPP 005_2026'!C4</f>
        <v>Adquisición de Utensilios, accesorios de aula, elementos institucionales e insumos médicos para los Centros de Atención Integral (CAIPIS)</v>
      </c>
      <c r="D16" s="30" t="str">
        <f>'CPP 005_2026'!C5</f>
        <v>Publicado</v>
      </c>
      <c r="E16" s="35" t="str">
        <f>'CPP 005_2026'!H5</f>
        <v>APERTURA 1 - SUSTANCIAL / FORMAL</v>
      </c>
      <c r="F16" s="34" t="str">
        <f>'CPP 005_2026'!G3</f>
        <v>MINNA Equipamientos</v>
      </c>
    </row>
    <row r="17" spans="1:6" ht="33" x14ac:dyDescent="0.25">
      <c r="A17" s="34" t="s">
        <v>13</v>
      </c>
      <c r="B17" s="34" t="s">
        <v>22</v>
      </c>
      <c r="C17" s="62" t="str">
        <f>'CPP 006_2026'!C4</f>
        <v>Adquisición de mobiliarios didácticos para los Centros de Atención Integral (CAIPIS)</v>
      </c>
      <c r="D17" s="30" t="str">
        <f>'CPP 006_2026'!C5</f>
        <v>Publicado</v>
      </c>
      <c r="E17" s="35" t="str">
        <f>'CPP 006_2026'!H5</f>
        <v>APERTURA 1 - SUSTANCIAL / FORMAL</v>
      </c>
      <c r="F17" s="34" t="str">
        <f>'CPP 006_2026'!G3</f>
        <v>MINNA Equipamientos</v>
      </c>
    </row>
    <row r="18" spans="1:6" ht="33" x14ac:dyDescent="0.25">
      <c r="A18" s="34" t="s">
        <v>13</v>
      </c>
      <c r="B18" s="34" t="s">
        <v>23</v>
      </c>
      <c r="C18" s="62" t="str">
        <f>'CPP 007_2026'!C4</f>
        <v>Adquisición de materiales recreativos y juguetes para los Centros de Atención Integral (CAIPIS)</v>
      </c>
      <c r="D18" s="30" t="str">
        <f>'CPP 007_2026'!C5</f>
        <v>Publicado</v>
      </c>
      <c r="E18" s="35" t="str">
        <f>'CPP 007_2026'!H5</f>
        <v>APERTURA 1 - SUSTANCIAL / FORMAL</v>
      </c>
      <c r="F18" s="34" t="str">
        <f>'CPP 007_2026'!G3</f>
        <v>MINNA Equipamientos</v>
      </c>
    </row>
  </sheetData>
  <sortState xmlns:xlrd2="http://schemas.microsoft.com/office/spreadsheetml/2017/richdata2" ref="B3:D17">
    <sortCondition ref="B3:B17"/>
  </sortState>
  <phoneticPr fontId="11" type="noConversion"/>
  <pageMargins left="0.25" right="0.25" top="0.75" bottom="0.75" header="0.3" footer="0.3"/>
  <pageSetup paperSize="9" scale="55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C0048-A3F7-4C4F-B998-3E974D51DA38}">
  <dimension ref="A1:J19"/>
  <sheetViews>
    <sheetView zoomScale="70" zoomScaleNormal="70" workbookViewId="0">
      <selection activeCell="L13" sqref="L13"/>
    </sheetView>
  </sheetViews>
  <sheetFormatPr baseColWidth="10" defaultColWidth="8.85546875" defaultRowHeight="15" x14ac:dyDescent="0.25"/>
  <cols>
    <col min="2" max="2" width="22.5703125" customWidth="1"/>
    <col min="6" max="6" width="12.42578125" customWidth="1"/>
    <col min="7" max="7" width="16.85546875" customWidth="1"/>
    <col min="8" max="8" width="12.42578125" customWidth="1"/>
    <col min="9" max="9" width="25.5703125" customWidth="1"/>
    <col min="10" max="10" width="16.140625" customWidth="1"/>
  </cols>
  <sheetData>
    <row r="1" spans="1:10" ht="18.75" x14ac:dyDescent="0.25">
      <c r="B1" s="104" t="s">
        <v>24</v>
      </c>
      <c r="C1" s="105"/>
      <c r="D1" s="105"/>
      <c r="E1" s="105"/>
      <c r="F1" s="105"/>
      <c r="G1" s="105"/>
      <c r="H1" s="105"/>
      <c r="I1" s="105"/>
      <c r="J1" s="106"/>
    </row>
    <row r="2" spans="1:10" x14ac:dyDescent="0.25">
      <c r="B2" s="107"/>
      <c r="J2" s="108"/>
    </row>
    <row r="3" spans="1:10" ht="15.75" x14ac:dyDescent="0.25">
      <c r="B3" s="265" t="s">
        <v>12</v>
      </c>
      <c r="C3" s="266"/>
      <c r="D3" s="266"/>
      <c r="E3" s="266"/>
      <c r="F3" s="266"/>
      <c r="G3" s="267" t="s">
        <v>25</v>
      </c>
      <c r="H3" s="267"/>
      <c r="I3" s="267"/>
      <c r="J3" s="268"/>
    </row>
    <row r="4" spans="1:10" ht="15.75" x14ac:dyDescent="0.25">
      <c r="A4" s="31"/>
      <c r="B4" s="218" t="s">
        <v>1</v>
      </c>
      <c r="C4" s="163" t="s">
        <v>26</v>
      </c>
      <c r="D4" s="163"/>
      <c r="E4" s="163"/>
      <c r="F4" s="163"/>
      <c r="G4" s="163"/>
      <c r="H4" s="163"/>
      <c r="I4" s="163"/>
      <c r="J4" s="219"/>
    </row>
    <row r="5" spans="1:10" ht="15.75" x14ac:dyDescent="0.25">
      <c r="B5" s="220" t="s">
        <v>27</v>
      </c>
      <c r="C5" s="163" t="s">
        <v>28</v>
      </c>
      <c r="D5" s="163"/>
      <c r="E5" s="163"/>
      <c r="F5" s="163"/>
      <c r="G5" s="164" t="s">
        <v>29</v>
      </c>
      <c r="H5" s="65" t="str">
        <f>B10</f>
        <v>APERTURA 1 - SUSTANCIAL / FORMAL</v>
      </c>
      <c r="I5" s="165"/>
      <c r="J5" s="221">
        <v>46059</v>
      </c>
    </row>
    <row r="6" spans="1:10" ht="16.5" thickBot="1" x14ac:dyDescent="0.3">
      <c r="B6" s="187"/>
      <c r="C6" s="14"/>
      <c r="D6" s="14"/>
      <c r="E6" s="14"/>
      <c r="F6" s="14"/>
      <c r="G6" s="222"/>
      <c r="H6" s="223"/>
      <c r="I6" s="223"/>
      <c r="J6" s="115"/>
    </row>
    <row r="7" spans="1:10" ht="15.75" thickBot="1" x14ac:dyDescent="0.3">
      <c r="B7" s="269" t="s">
        <v>30</v>
      </c>
      <c r="C7" s="270"/>
      <c r="D7" s="271"/>
      <c r="E7" s="1"/>
      <c r="F7" s="3"/>
      <c r="G7" s="269" t="s">
        <v>31</v>
      </c>
      <c r="H7" s="270"/>
      <c r="I7" s="270"/>
      <c r="J7" s="271"/>
    </row>
    <row r="8" spans="1:10" ht="32.25" thickBot="1" x14ac:dyDescent="0.3">
      <c r="B8" s="186" t="s">
        <v>32</v>
      </c>
      <c r="C8" s="272"/>
      <c r="D8" s="273"/>
      <c r="E8" s="143"/>
      <c r="F8" s="143"/>
      <c r="G8" s="274" t="s">
        <v>31</v>
      </c>
      <c r="H8" s="275"/>
      <c r="I8" s="275"/>
      <c r="J8" s="189">
        <f>C8*1.3</f>
        <v>0</v>
      </c>
    </row>
    <row r="9" spans="1:10" ht="16.5" thickBot="1" x14ac:dyDescent="0.3">
      <c r="B9" s="184"/>
      <c r="C9" s="284"/>
      <c r="D9" s="284"/>
      <c r="E9" s="143"/>
      <c r="F9" s="143"/>
      <c r="G9" s="285"/>
      <c r="H9" s="285"/>
      <c r="I9" s="285"/>
      <c r="J9" s="224"/>
    </row>
    <row r="10" spans="1:10" ht="16.5" thickBot="1" x14ac:dyDescent="0.3">
      <c r="B10" s="286" t="s">
        <v>33</v>
      </c>
      <c r="C10" s="287"/>
      <c r="D10" s="288"/>
      <c r="E10" s="143"/>
      <c r="F10" s="143"/>
      <c r="G10" s="286" t="s">
        <v>34</v>
      </c>
      <c r="H10" s="287"/>
      <c r="I10" s="287"/>
      <c r="J10" s="288"/>
    </row>
    <row r="11" spans="1:10" ht="90.75" thickBot="1" x14ac:dyDescent="0.3">
      <c r="B11" s="289" t="s">
        <v>35</v>
      </c>
      <c r="C11" s="128" t="s">
        <v>36</v>
      </c>
      <c r="D11" s="129" t="s">
        <v>37</v>
      </c>
      <c r="E11" s="5"/>
      <c r="F11" s="46" t="s">
        <v>38</v>
      </c>
      <c r="G11" s="291" t="s">
        <v>39</v>
      </c>
      <c r="H11" s="292"/>
      <c r="I11" s="292"/>
      <c r="J11" s="293"/>
    </row>
    <row r="12" spans="1:10" ht="15.75" thickBot="1" x14ac:dyDescent="0.3">
      <c r="B12" s="290"/>
      <c r="C12" s="188" t="s">
        <v>40</v>
      </c>
      <c r="D12" s="183" t="s">
        <v>40</v>
      </c>
      <c r="E12" s="6"/>
      <c r="F12" s="182"/>
      <c r="G12" s="294" t="s">
        <v>41</v>
      </c>
      <c r="H12" s="295"/>
      <c r="I12" s="296"/>
      <c r="J12" s="185"/>
    </row>
    <row r="13" spans="1:10" ht="16.5" x14ac:dyDescent="0.3">
      <c r="B13" s="168"/>
      <c r="C13" s="152"/>
      <c r="D13" s="159"/>
      <c r="E13" s="144"/>
      <c r="F13" s="159"/>
      <c r="G13" s="225"/>
      <c r="H13" s="145"/>
      <c r="I13" s="146"/>
      <c r="J13" s="162"/>
    </row>
    <row r="14" spans="1:10" ht="16.5" thickBot="1" x14ac:dyDescent="0.3">
      <c r="B14" s="39"/>
      <c r="C14" s="153"/>
      <c r="D14" s="48"/>
      <c r="E14" s="8"/>
      <c r="F14" s="21"/>
      <c r="G14" s="45"/>
      <c r="H14" s="23"/>
      <c r="I14" s="24"/>
      <c r="J14" s="125"/>
    </row>
    <row r="15" spans="1:10" ht="15.75" thickBot="1" x14ac:dyDescent="0.3">
      <c r="B15" s="107"/>
      <c r="J15" s="108"/>
    </row>
    <row r="16" spans="1:10" x14ac:dyDescent="0.25">
      <c r="B16" s="276" t="s">
        <v>42</v>
      </c>
      <c r="C16" s="278"/>
      <c r="D16" s="279"/>
      <c r="E16" s="279"/>
      <c r="F16" s="279"/>
      <c r="G16" s="279"/>
      <c r="H16" s="279"/>
      <c r="I16" s="279"/>
      <c r="J16" s="280"/>
    </row>
    <row r="17" spans="2:10" ht="15.75" thickBot="1" x14ac:dyDescent="0.3">
      <c r="B17" s="277"/>
      <c r="C17" s="281"/>
      <c r="D17" s="282"/>
      <c r="E17" s="282"/>
      <c r="F17" s="282"/>
      <c r="G17" s="282"/>
      <c r="H17" s="282"/>
      <c r="I17" s="282"/>
      <c r="J17" s="283"/>
    </row>
    <row r="18" spans="2:10" ht="15.75" thickBot="1" x14ac:dyDescent="0.3">
      <c r="B18" s="109" t="s">
        <v>43</v>
      </c>
      <c r="C18" s="110" t="s">
        <v>44</v>
      </c>
      <c r="D18" s="111"/>
      <c r="E18" s="45"/>
      <c r="F18" s="112" t="s">
        <v>45</v>
      </c>
      <c r="G18" s="113" t="s">
        <v>46</v>
      </c>
      <c r="H18" s="114" t="s">
        <v>47</v>
      </c>
      <c r="I18" s="127" t="s">
        <v>48</v>
      </c>
      <c r="J18" s="103"/>
    </row>
    <row r="19" spans="2:10" x14ac:dyDescent="0.25">
      <c r="J19" s="2"/>
    </row>
  </sheetData>
  <mergeCells count="15">
    <mergeCell ref="B16:B17"/>
    <mergeCell ref="C16:J17"/>
    <mergeCell ref="C9:D9"/>
    <mergeCell ref="G9:I9"/>
    <mergeCell ref="B10:D10"/>
    <mergeCell ref="G10:J10"/>
    <mergeCell ref="B11:B12"/>
    <mergeCell ref="G11:J11"/>
    <mergeCell ref="G12:I12"/>
    <mergeCell ref="B3:F3"/>
    <mergeCell ref="G3:J3"/>
    <mergeCell ref="B7:D7"/>
    <mergeCell ref="G7:J7"/>
    <mergeCell ref="C8:D8"/>
    <mergeCell ref="G8:I8"/>
  </mergeCells>
  <conditionalFormatting sqref="C13:F14">
    <cfRule type="containsText" dxfId="62" priority="2" operator="containsText" text="No">
      <formula>NOT(ISERROR(SEARCH("No",C13)))</formula>
    </cfRule>
  </conditionalFormatting>
  <conditionalFormatting sqref="F13">
    <cfRule type="containsText" dxfId="61" priority="1" operator="containsText" text="No">
      <formula>NOT(ISERROR(SEARCH("No",F13)))</formula>
    </cfRule>
  </conditionalFormatting>
  <conditionalFormatting sqref="H13:I14">
    <cfRule type="cellIs" dxfId="60" priority="3" operator="greaterThan">
      <formula>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7FAC-E3DE-437C-9E52-B41EDCED277E}">
  <dimension ref="A1:J19"/>
  <sheetViews>
    <sheetView zoomScale="70" zoomScaleNormal="70" workbookViewId="0">
      <selection activeCell="N12" sqref="N12"/>
    </sheetView>
  </sheetViews>
  <sheetFormatPr baseColWidth="10" defaultColWidth="8.85546875" defaultRowHeight="15" x14ac:dyDescent="0.25"/>
  <cols>
    <col min="2" max="2" width="29" customWidth="1"/>
    <col min="3" max="3" width="11.42578125" customWidth="1"/>
    <col min="4" max="4" width="12.42578125" customWidth="1"/>
    <col min="6" max="6" width="12.42578125" customWidth="1"/>
    <col min="7" max="7" width="14.5703125" customWidth="1"/>
    <col min="8" max="8" width="12.5703125" customWidth="1"/>
    <col min="9" max="9" width="17.5703125" customWidth="1"/>
    <col min="10" max="10" width="14.140625" customWidth="1"/>
  </cols>
  <sheetData>
    <row r="1" spans="1:10" ht="18.75" x14ac:dyDescent="0.25">
      <c r="B1" s="104" t="s">
        <v>24</v>
      </c>
      <c r="C1" s="105"/>
      <c r="D1" s="105"/>
      <c r="E1" s="105"/>
      <c r="F1" s="105"/>
      <c r="G1" s="105"/>
      <c r="H1" s="105"/>
      <c r="I1" s="105"/>
      <c r="J1" s="106"/>
    </row>
    <row r="2" spans="1:10" x14ac:dyDescent="0.25">
      <c r="B2" s="107"/>
      <c r="J2" s="108"/>
    </row>
    <row r="3" spans="1:10" ht="15.75" x14ac:dyDescent="0.25">
      <c r="B3" s="265" t="s">
        <v>11</v>
      </c>
      <c r="C3" s="266"/>
      <c r="D3" s="266"/>
      <c r="E3" s="266"/>
      <c r="F3" s="266"/>
      <c r="G3" s="267" t="s">
        <v>25</v>
      </c>
      <c r="H3" s="267"/>
      <c r="I3" s="267"/>
      <c r="J3" s="268"/>
    </row>
    <row r="4" spans="1:10" ht="15.75" x14ac:dyDescent="0.25">
      <c r="A4" s="31"/>
      <c r="B4" s="218" t="s">
        <v>1</v>
      </c>
      <c r="C4" s="163" t="s">
        <v>49</v>
      </c>
      <c r="D4" s="169"/>
      <c r="E4" s="169"/>
      <c r="F4" s="169"/>
      <c r="G4" s="169"/>
      <c r="H4" s="169"/>
      <c r="I4" s="169"/>
      <c r="J4" s="219"/>
    </row>
    <row r="5" spans="1:10" ht="15.75" x14ac:dyDescent="0.25">
      <c r="B5" s="220" t="s">
        <v>27</v>
      </c>
      <c r="C5" s="163" t="s">
        <v>28</v>
      </c>
      <c r="D5" s="163"/>
      <c r="E5" s="163"/>
      <c r="F5" s="163"/>
      <c r="G5" s="164" t="s">
        <v>29</v>
      </c>
      <c r="H5" s="65" t="str">
        <f>B10</f>
        <v>APERTURA 1 - SUSTANCIAL / FORMAL</v>
      </c>
      <c r="I5" s="165"/>
      <c r="J5" s="235">
        <v>46059</v>
      </c>
    </row>
    <row r="6" spans="1:10" ht="16.5" thickBot="1" x14ac:dyDescent="0.3">
      <c r="B6" s="187"/>
      <c r="C6" s="14"/>
      <c r="D6" s="14"/>
      <c r="E6" s="14"/>
      <c r="F6" s="14"/>
      <c r="G6" s="222"/>
      <c r="H6" s="223"/>
      <c r="I6" s="223"/>
      <c r="J6" s="115"/>
    </row>
    <row r="7" spans="1:10" ht="15.75" thickBot="1" x14ac:dyDescent="0.3">
      <c r="B7" s="269" t="s">
        <v>30</v>
      </c>
      <c r="C7" s="270"/>
      <c r="D7" s="271"/>
      <c r="E7" s="1"/>
      <c r="F7" s="3"/>
      <c r="G7" s="269" t="s">
        <v>31</v>
      </c>
      <c r="H7" s="270"/>
      <c r="I7" s="270"/>
      <c r="J7" s="271"/>
    </row>
    <row r="8" spans="1:10" ht="16.5" thickBot="1" x14ac:dyDescent="0.3">
      <c r="B8" s="186" t="s">
        <v>32</v>
      </c>
      <c r="C8" s="272"/>
      <c r="D8" s="273"/>
      <c r="E8" s="143"/>
      <c r="F8" s="143"/>
      <c r="G8" s="274" t="s">
        <v>31</v>
      </c>
      <c r="H8" s="275"/>
      <c r="I8" s="275"/>
      <c r="J8" s="189">
        <f>C8*1.3</f>
        <v>0</v>
      </c>
    </row>
    <row r="9" spans="1:10" ht="16.5" thickBot="1" x14ac:dyDescent="0.3">
      <c r="B9" s="184"/>
      <c r="C9" s="284"/>
      <c r="D9" s="284"/>
      <c r="E9" s="143"/>
      <c r="F9" s="143"/>
      <c r="G9" s="285"/>
      <c r="H9" s="285"/>
      <c r="I9" s="285"/>
      <c r="J9" s="224"/>
    </row>
    <row r="10" spans="1:10" ht="16.5" thickBot="1" x14ac:dyDescent="0.3">
      <c r="B10" s="286" t="s">
        <v>33</v>
      </c>
      <c r="C10" s="287"/>
      <c r="D10" s="288"/>
      <c r="E10" s="143"/>
      <c r="F10" s="143"/>
      <c r="G10" s="286" t="s">
        <v>34</v>
      </c>
      <c r="H10" s="287"/>
      <c r="I10" s="287"/>
      <c r="J10" s="288"/>
    </row>
    <row r="11" spans="1:10" ht="45.75" thickBot="1" x14ac:dyDescent="0.3">
      <c r="B11" s="289" t="s">
        <v>35</v>
      </c>
      <c r="C11" s="128" t="s">
        <v>36</v>
      </c>
      <c r="D11" s="129" t="s">
        <v>37</v>
      </c>
      <c r="E11" s="5"/>
      <c r="F11" s="46" t="s">
        <v>38</v>
      </c>
      <c r="G11" s="291" t="s">
        <v>39</v>
      </c>
      <c r="H11" s="292"/>
      <c r="I11" s="292"/>
      <c r="J11" s="293"/>
    </row>
    <row r="12" spans="1:10" ht="15.75" thickBot="1" x14ac:dyDescent="0.3">
      <c r="B12" s="290"/>
      <c r="C12" s="188" t="s">
        <v>40</v>
      </c>
      <c r="D12" s="183" t="s">
        <v>40</v>
      </c>
      <c r="E12" s="6"/>
      <c r="F12" s="182"/>
      <c r="G12" s="294" t="s">
        <v>41</v>
      </c>
      <c r="H12" s="295"/>
      <c r="I12" s="296"/>
      <c r="J12" s="185"/>
    </row>
    <row r="13" spans="1:10" ht="16.5" x14ac:dyDescent="0.3">
      <c r="B13" s="168"/>
      <c r="C13" s="152"/>
      <c r="D13" s="159"/>
      <c r="E13" s="144"/>
      <c r="F13" s="159"/>
      <c r="G13" s="225"/>
      <c r="H13" s="145"/>
      <c r="I13" s="146"/>
      <c r="J13" s="162"/>
    </row>
    <row r="14" spans="1:10" ht="16.5" thickBot="1" x14ac:dyDescent="0.3">
      <c r="B14" s="39"/>
      <c r="C14" s="153"/>
      <c r="D14" s="48"/>
      <c r="E14" s="8"/>
      <c r="F14" s="21"/>
      <c r="G14" s="45"/>
      <c r="H14" s="23"/>
      <c r="I14" s="24"/>
      <c r="J14" s="125"/>
    </row>
    <row r="15" spans="1:10" ht="15.75" thickBot="1" x14ac:dyDescent="0.3">
      <c r="B15" s="107"/>
      <c r="J15" s="108"/>
    </row>
    <row r="16" spans="1:10" x14ac:dyDescent="0.25">
      <c r="B16" s="276" t="s">
        <v>42</v>
      </c>
      <c r="C16" s="278"/>
      <c r="D16" s="279"/>
      <c r="E16" s="279"/>
      <c r="F16" s="279"/>
      <c r="G16" s="279"/>
      <c r="H16" s="279"/>
      <c r="I16" s="279"/>
      <c r="J16" s="280"/>
    </row>
    <row r="17" spans="2:10" ht="15.75" thickBot="1" x14ac:dyDescent="0.3">
      <c r="B17" s="277"/>
      <c r="C17" s="281"/>
      <c r="D17" s="282"/>
      <c r="E17" s="282"/>
      <c r="F17" s="282"/>
      <c r="G17" s="282"/>
      <c r="H17" s="282"/>
      <c r="I17" s="282"/>
      <c r="J17" s="283"/>
    </row>
    <row r="18" spans="2:10" ht="15.75" thickBot="1" x14ac:dyDescent="0.3">
      <c r="B18" s="109" t="s">
        <v>43</v>
      </c>
      <c r="C18" s="110" t="s">
        <v>44</v>
      </c>
      <c r="D18" s="111"/>
      <c r="E18" s="45"/>
      <c r="F18" s="112" t="s">
        <v>45</v>
      </c>
      <c r="G18" s="113" t="s">
        <v>46</v>
      </c>
      <c r="H18" s="114" t="s">
        <v>47</v>
      </c>
      <c r="I18" s="127" t="s">
        <v>48</v>
      </c>
      <c r="J18" s="103"/>
    </row>
    <row r="19" spans="2:10" x14ac:dyDescent="0.25">
      <c r="J19" s="2"/>
    </row>
  </sheetData>
  <mergeCells count="15">
    <mergeCell ref="B16:B17"/>
    <mergeCell ref="C16:J17"/>
    <mergeCell ref="C9:D9"/>
    <mergeCell ref="G9:I9"/>
    <mergeCell ref="B10:D10"/>
    <mergeCell ref="G10:J10"/>
    <mergeCell ref="B11:B12"/>
    <mergeCell ref="G11:J11"/>
    <mergeCell ref="G12:I12"/>
    <mergeCell ref="B3:F3"/>
    <mergeCell ref="G3:J3"/>
    <mergeCell ref="B7:D7"/>
    <mergeCell ref="G7:J7"/>
    <mergeCell ref="C8:D8"/>
    <mergeCell ref="G8:I8"/>
  </mergeCells>
  <conditionalFormatting sqref="C13:F14">
    <cfRule type="containsText" dxfId="59" priority="2" operator="containsText" text="No">
      <formula>NOT(ISERROR(SEARCH("No",C13)))</formula>
    </cfRule>
  </conditionalFormatting>
  <conditionalFormatting sqref="F13">
    <cfRule type="containsText" dxfId="58" priority="1" operator="containsText" text="No">
      <formula>NOT(ISERROR(SEARCH("No",F13)))</formula>
    </cfRule>
  </conditionalFormatting>
  <conditionalFormatting sqref="H13:I14">
    <cfRule type="cellIs" dxfId="57" priority="3" operator="greaterThan">
      <formula>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D1557-24F8-4020-A602-91B250FFDB31}">
  <dimension ref="A1:J21"/>
  <sheetViews>
    <sheetView zoomScale="70" zoomScaleNormal="70" workbookViewId="0">
      <selection activeCell="H6" sqref="H6"/>
    </sheetView>
  </sheetViews>
  <sheetFormatPr baseColWidth="10" defaultColWidth="8.85546875" defaultRowHeight="15" x14ac:dyDescent="0.25"/>
  <cols>
    <col min="2" max="2" width="54.140625" customWidth="1"/>
    <col min="3" max="3" width="10.5703125" customWidth="1"/>
    <col min="4" max="4" width="10.85546875" customWidth="1"/>
    <col min="6" max="6" width="13" customWidth="1"/>
    <col min="7" max="7" width="16.42578125" customWidth="1"/>
    <col min="8" max="8" width="12" customWidth="1"/>
    <col min="9" max="9" width="24.42578125" customWidth="1"/>
    <col min="10" max="10" width="15.42578125" customWidth="1"/>
  </cols>
  <sheetData>
    <row r="1" spans="1:10" ht="18.75" x14ac:dyDescent="0.25">
      <c r="B1" s="104" t="s">
        <v>24</v>
      </c>
      <c r="C1" s="105"/>
      <c r="D1" s="105"/>
      <c r="E1" s="105"/>
      <c r="F1" s="105"/>
      <c r="G1" s="105"/>
      <c r="H1" s="105"/>
      <c r="I1" s="105"/>
      <c r="J1" s="106"/>
    </row>
    <row r="2" spans="1:10" x14ac:dyDescent="0.25">
      <c r="B2" s="107"/>
      <c r="J2" s="108"/>
    </row>
    <row r="3" spans="1:10" ht="15.75" x14ac:dyDescent="0.25">
      <c r="B3" s="265" t="s">
        <v>9</v>
      </c>
      <c r="C3" s="266"/>
      <c r="D3" s="266"/>
      <c r="E3" s="266"/>
      <c r="F3" s="266"/>
      <c r="G3" s="267" t="s">
        <v>25</v>
      </c>
      <c r="H3" s="267"/>
      <c r="I3" s="267"/>
      <c r="J3" s="268"/>
    </row>
    <row r="4" spans="1:10" ht="16.5" x14ac:dyDescent="0.3">
      <c r="A4" s="31"/>
      <c r="B4" s="218" t="s">
        <v>1</v>
      </c>
      <c r="C4" s="234" t="s">
        <v>50</v>
      </c>
      <c r="D4" s="169"/>
      <c r="E4" s="169"/>
      <c r="F4" s="169"/>
      <c r="G4" s="169"/>
      <c r="H4" s="169"/>
      <c r="I4" s="169"/>
      <c r="J4" s="219"/>
    </row>
    <row r="5" spans="1:10" ht="15.75" x14ac:dyDescent="0.25">
      <c r="B5" s="220" t="s">
        <v>27</v>
      </c>
      <c r="C5" s="163" t="str">
        <f>D11</f>
        <v>Evaluación Formal/Técnica (Sobre 2)</v>
      </c>
      <c r="D5" s="163"/>
      <c r="E5" s="163"/>
      <c r="F5" s="163"/>
      <c r="G5" s="164" t="s">
        <v>29</v>
      </c>
      <c r="H5" s="65" t="str">
        <f>G10</f>
        <v>APERTURA 2 - Económica</v>
      </c>
      <c r="I5" s="165"/>
      <c r="J5" s="221">
        <v>45706</v>
      </c>
    </row>
    <row r="6" spans="1:10" ht="16.5" thickBot="1" x14ac:dyDescent="0.3">
      <c r="B6" s="187"/>
      <c r="C6" s="14"/>
      <c r="D6" s="14"/>
      <c r="E6" s="14"/>
      <c r="F6" s="14"/>
      <c r="G6" s="222"/>
      <c r="H6" s="223"/>
      <c r="I6" s="223"/>
      <c r="J6" s="115"/>
    </row>
    <row r="7" spans="1:10" ht="15.75" thickBot="1" x14ac:dyDescent="0.3">
      <c r="B7" s="269" t="s">
        <v>30</v>
      </c>
      <c r="C7" s="270"/>
      <c r="D7" s="271"/>
      <c r="E7" s="1"/>
      <c r="F7" s="3"/>
      <c r="G7" s="269" t="s">
        <v>31</v>
      </c>
      <c r="H7" s="270"/>
      <c r="I7" s="270"/>
      <c r="J7" s="271"/>
    </row>
    <row r="8" spans="1:10" ht="16.5" thickBot="1" x14ac:dyDescent="0.3">
      <c r="B8" s="186" t="s">
        <v>32</v>
      </c>
      <c r="C8" s="272"/>
      <c r="D8" s="273"/>
      <c r="E8" s="143"/>
      <c r="F8" s="143"/>
      <c r="G8" s="274" t="s">
        <v>31</v>
      </c>
      <c r="H8" s="275"/>
      <c r="I8" s="275"/>
      <c r="J8" s="189">
        <f>C8*1.3</f>
        <v>0</v>
      </c>
    </row>
    <row r="9" spans="1:10" ht="15.75" x14ac:dyDescent="0.25">
      <c r="B9" s="184"/>
      <c r="C9" s="284"/>
      <c r="D9" s="284"/>
      <c r="E9" s="143"/>
      <c r="F9" s="143"/>
      <c r="G9" s="285"/>
      <c r="H9" s="285"/>
      <c r="I9" s="285"/>
      <c r="J9" s="224"/>
    </row>
    <row r="10" spans="1:10" ht="15.75" x14ac:dyDescent="0.25">
      <c r="B10" s="269" t="s">
        <v>33</v>
      </c>
      <c r="C10" s="270"/>
      <c r="D10" s="271"/>
      <c r="E10" s="143"/>
      <c r="F10" s="143"/>
      <c r="G10" s="269" t="s">
        <v>34</v>
      </c>
      <c r="H10" s="270"/>
      <c r="I10" s="270"/>
      <c r="J10" s="271"/>
    </row>
    <row r="11" spans="1:10" ht="60" x14ac:dyDescent="0.25">
      <c r="B11" s="297" t="s">
        <v>35</v>
      </c>
      <c r="C11" s="56" t="s">
        <v>36</v>
      </c>
      <c r="D11" s="260" t="s">
        <v>37</v>
      </c>
      <c r="E11" s="5"/>
      <c r="F11" s="71" t="s">
        <v>38</v>
      </c>
      <c r="G11" s="299" t="s">
        <v>39</v>
      </c>
      <c r="H11" s="300"/>
      <c r="I11" s="300"/>
      <c r="J11" s="301"/>
    </row>
    <row r="12" spans="1:10" x14ac:dyDescent="0.25">
      <c r="B12" s="298"/>
      <c r="C12" s="256" t="s">
        <v>40</v>
      </c>
      <c r="D12" s="239" t="s">
        <v>40</v>
      </c>
      <c r="E12" s="6"/>
      <c r="F12" s="182"/>
      <c r="G12" s="302" t="s">
        <v>41</v>
      </c>
      <c r="H12" s="303"/>
      <c r="I12" s="304"/>
      <c r="J12" s="185"/>
    </row>
    <row r="13" spans="1:10" x14ac:dyDescent="0.25">
      <c r="B13" s="258" t="s">
        <v>51</v>
      </c>
      <c r="C13" s="257" t="s">
        <v>52</v>
      </c>
      <c r="D13" s="261"/>
      <c r="E13" s="6"/>
      <c r="F13" s="240"/>
      <c r="G13" s="236"/>
      <c r="H13" s="236"/>
      <c r="I13" s="236"/>
      <c r="J13" s="185"/>
    </row>
    <row r="14" spans="1:10" x14ac:dyDescent="0.25">
      <c r="B14" s="259" t="s">
        <v>53</v>
      </c>
      <c r="C14" s="257" t="s">
        <v>52</v>
      </c>
      <c r="D14" s="262"/>
      <c r="E14" s="6"/>
      <c r="F14" s="240"/>
      <c r="G14" s="236"/>
      <c r="H14" s="236"/>
      <c r="I14" s="236"/>
      <c r="J14" s="185"/>
    </row>
    <row r="15" spans="1:10" ht="15.75" x14ac:dyDescent="0.25">
      <c r="B15" s="259" t="s">
        <v>54</v>
      </c>
      <c r="C15" s="257" t="s">
        <v>55</v>
      </c>
      <c r="D15" s="263"/>
      <c r="E15" s="144"/>
      <c r="F15" s="150"/>
      <c r="G15" s="237"/>
      <c r="H15" s="238"/>
      <c r="I15" s="238"/>
      <c r="J15" s="162"/>
    </row>
    <row r="16" spans="1:10" x14ac:dyDescent="0.25">
      <c r="B16" s="244" t="s">
        <v>56</v>
      </c>
      <c r="C16" s="257" t="s">
        <v>52</v>
      </c>
      <c r="D16" s="48"/>
      <c r="E16" s="8"/>
      <c r="F16" s="241"/>
      <c r="G16" s="242"/>
      <c r="H16" s="243"/>
      <c r="I16" s="243"/>
      <c r="J16" s="130"/>
    </row>
    <row r="17" spans="2:10" x14ac:dyDescent="0.25">
      <c r="B17" s="107"/>
      <c r="J17" s="108"/>
    </row>
    <row r="18" spans="2:10" x14ac:dyDescent="0.25">
      <c r="B18" s="276" t="s">
        <v>42</v>
      </c>
      <c r="C18" s="278" t="s">
        <v>57</v>
      </c>
      <c r="D18" s="279"/>
      <c r="E18" s="279"/>
      <c r="F18" s="279"/>
      <c r="G18" s="279"/>
      <c r="H18" s="279"/>
      <c r="I18" s="279"/>
      <c r="J18" s="280"/>
    </row>
    <row r="19" spans="2:10" x14ac:dyDescent="0.25">
      <c r="B19" s="277"/>
      <c r="C19" s="281"/>
      <c r="D19" s="282"/>
      <c r="E19" s="282"/>
      <c r="F19" s="282"/>
      <c r="G19" s="282"/>
      <c r="H19" s="282"/>
      <c r="I19" s="282"/>
      <c r="J19" s="283"/>
    </row>
    <row r="20" spans="2:10" x14ac:dyDescent="0.25">
      <c r="B20" s="109" t="s">
        <v>43</v>
      </c>
      <c r="C20" s="110" t="s">
        <v>44</v>
      </c>
      <c r="D20" s="111"/>
      <c r="E20" s="45"/>
      <c r="F20" s="112" t="s">
        <v>45</v>
      </c>
      <c r="G20" s="113" t="s">
        <v>46</v>
      </c>
      <c r="H20" s="114" t="s">
        <v>47</v>
      </c>
      <c r="I20" s="127" t="s">
        <v>48</v>
      </c>
      <c r="J20" s="103"/>
    </row>
    <row r="21" spans="2:10" x14ac:dyDescent="0.25">
      <c r="J21" s="2"/>
    </row>
  </sheetData>
  <mergeCells count="15">
    <mergeCell ref="B18:B19"/>
    <mergeCell ref="C18:J19"/>
    <mergeCell ref="C9:D9"/>
    <mergeCell ref="G9:I9"/>
    <mergeCell ref="B10:D10"/>
    <mergeCell ref="G10:J10"/>
    <mergeCell ref="B11:B12"/>
    <mergeCell ref="G11:J11"/>
    <mergeCell ref="G12:I12"/>
    <mergeCell ref="B3:F3"/>
    <mergeCell ref="G3:J3"/>
    <mergeCell ref="B7:D7"/>
    <mergeCell ref="G7:J7"/>
    <mergeCell ref="C8:D8"/>
    <mergeCell ref="G8:I8"/>
  </mergeCells>
  <conditionalFormatting sqref="D15:F16">
    <cfRule type="containsText" dxfId="56" priority="2" operator="containsText" text="No">
      <formula>NOT(ISERROR(SEARCH("No",D15)))</formula>
    </cfRule>
  </conditionalFormatting>
  <conditionalFormatting sqref="F15">
    <cfRule type="containsText" dxfId="55" priority="1" operator="containsText" text="No">
      <formula>NOT(ISERROR(SEARCH("No",F15)))</formula>
    </cfRule>
  </conditionalFormatting>
  <conditionalFormatting sqref="H15:I16">
    <cfRule type="cellIs" dxfId="54" priority="3" operator="greaterThan">
      <formula>#REF!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3CF8-C9A4-4F4A-BB75-DDD07613F941}">
  <dimension ref="A1:J19"/>
  <sheetViews>
    <sheetView zoomScale="70" zoomScaleNormal="70" workbookViewId="0">
      <selection activeCell="I29" sqref="I29"/>
    </sheetView>
  </sheetViews>
  <sheetFormatPr baseColWidth="10" defaultColWidth="8.85546875" defaultRowHeight="15" x14ac:dyDescent="0.25"/>
  <cols>
    <col min="2" max="2" width="18.42578125" customWidth="1"/>
    <col min="3" max="3" width="13.42578125" customWidth="1"/>
    <col min="4" max="4" width="11.42578125" customWidth="1"/>
    <col min="6" max="6" width="13" customWidth="1"/>
    <col min="7" max="7" width="15.5703125" customWidth="1"/>
    <col min="8" max="8" width="12.42578125" customWidth="1"/>
    <col min="9" max="9" width="27" customWidth="1"/>
    <col min="10" max="10" width="14" customWidth="1"/>
  </cols>
  <sheetData>
    <row r="1" spans="1:10" ht="18.75" x14ac:dyDescent="0.25">
      <c r="B1" s="104" t="s">
        <v>24</v>
      </c>
      <c r="C1" s="105"/>
      <c r="D1" s="105"/>
      <c r="E1" s="105"/>
      <c r="F1" s="105"/>
      <c r="G1" s="105"/>
      <c r="H1" s="105"/>
      <c r="I1" s="105"/>
      <c r="J1" s="106"/>
    </row>
    <row r="2" spans="1:10" x14ac:dyDescent="0.25">
      <c r="B2" s="107"/>
      <c r="J2" s="108"/>
    </row>
    <row r="3" spans="1:10" ht="15.75" x14ac:dyDescent="0.25">
      <c r="B3" s="265" t="s">
        <v>8</v>
      </c>
      <c r="C3" s="266"/>
      <c r="D3" s="266"/>
      <c r="E3" s="266"/>
      <c r="F3" s="266"/>
      <c r="G3" s="267" t="s">
        <v>25</v>
      </c>
      <c r="H3" s="267"/>
      <c r="I3" s="267"/>
      <c r="J3" s="268"/>
    </row>
    <row r="4" spans="1:10" ht="15.75" x14ac:dyDescent="0.25">
      <c r="A4" s="31"/>
      <c r="B4" s="218" t="s">
        <v>1</v>
      </c>
      <c r="C4" s="64" t="s">
        <v>58</v>
      </c>
      <c r="D4" s="169"/>
      <c r="E4" s="169"/>
      <c r="F4" s="169"/>
      <c r="G4" s="169"/>
      <c r="H4" s="169"/>
      <c r="I4" s="169"/>
      <c r="J4" s="219"/>
    </row>
    <row r="5" spans="1:10" ht="15.75" x14ac:dyDescent="0.25">
      <c r="B5" s="220" t="s">
        <v>27</v>
      </c>
      <c r="C5" s="163" t="s">
        <v>28</v>
      </c>
      <c r="D5" s="163"/>
      <c r="E5" s="163"/>
      <c r="F5" s="163"/>
      <c r="G5" s="164" t="s">
        <v>29</v>
      </c>
      <c r="H5" s="65" t="str">
        <f>B10</f>
        <v>APERTURA 1 - SUSTANCIAL / FORMAL</v>
      </c>
      <c r="I5" s="165"/>
      <c r="J5" s="221">
        <v>46058</v>
      </c>
    </row>
    <row r="6" spans="1:10" ht="16.5" thickBot="1" x14ac:dyDescent="0.3">
      <c r="B6" s="187"/>
      <c r="C6" s="14"/>
      <c r="D6" s="14"/>
      <c r="E6" s="14"/>
      <c r="F6" s="14"/>
      <c r="G6" s="222"/>
      <c r="H6" s="223"/>
      <c r="I6" s="223"/>
      <c r="J6" s="115"/>
    </row>
    <row r="7" spans="1:10" ht="15.75" thickBot="1" x14ac:dyDescent="0.3">
      <c r="B7" s="269" t="s">
        <v>30</v>
      </c>
      <c r="C7" s="270"/>
      <c r="D7" s="271"/>
      <c r="E7" s="1"/>
      <c r="F7" s="3"/>
      <c r="G7" s="269" t="s">
        <v>31</v>
      </c>
      <c r="H7" s="270"/>
      <c r="I7" s="270"/>
      <c r="J7" s="271"/>
    </row>
    <row r="8" spans="1:10" ht="32.25" thickBot="1" x14ac:dyDescent="0.3">
      <c r="B8" s="186" t="s">
        <v>32</v>
      </c>
      <c r="C8" s="272"/>
      <c r="D8" s="273"/>
      <c r="E8" s="143"/>
      <c r="F8" s="143"/>
      <c r="G8" s="274" t="s">
        <v>31</v>
      </c>
      <c r="H8" s="275"/>
      <c r="I8" s="275"/>
      <c r="J8" s="189">
        <f>C8*1.3</f>
        <v>0</v>
      </c>
    </row>
    <row r="9" spans="1:10" ht="16.5" thickBot="1" x14ac:dyDescent="0.3">
      <c r="B9" s="184"/>
      <c r="C9" s="284"/>
      <c r="D9" s="284"/>
      <c r="E9" s="143"/>
      <c r="F9" s="143"/>
      <c r="G9" s="285"/>
      <c r="H9" s="285"/>
      <c r="I9" s="285"/>
      <c r="J9" s="224"/>
    </row>
    <row r="10" spans="1:10" ht="16.5" thickBot="1" x14ac:dyDescent="0.3">
      <c r="B10" s="286" t="s">
        <v>33</v>
      </c>
      <c r="C10" s="287"/>
      <c r="D10" s="288"/>
      <c r="E10" s="143"/>
      <c r="F10" s="143"/>
      <c r="G10" s="286" t="s">
        <v>34</v>
      </c>
      <c r="H10" s="287"/>
      <c r="I10" s="287"/>
      <c r="J10" s="288"/>
    </row>
    <row r="11" spans="1:10" ht="60.75" thickBot="1" x14ac:dyDescent="0.3">
      <c r="B11" s="289" t="s">
        <v>35</v>
      </c>
      <c r="C11" s="128" t="s">
        <v>36</v>
      </c>
      <c r="D11" s="129" t="s">
        <v>37</v>
      </c>
      <c r="E11" s="5"/>
      <c r="F11" s="46" t="s">
        <v>38</v>
      </c>
      <c r="G11" s="291" t="s">
        <v>39</v>
      </c>
      <c r="H11" s="292"/>
      <c r="I11" s="292"/>
      <c r="J11" s="293"/>
    </row>
    <row r="12" spans="1:10" ht="15.75" thickBot="1" x14ac:dyDescent="0.3">
      <c r="B12" s="290"/>
      <c r="C12" s="188" t="s">
        <v>40</v>
      </c>
      <c r="D12" s="183" t="s">
        <v>40</v>
      </c>
      <c r="E12" s="6"/>
      <c r="F12" s="182"/>
      <c r="G12" s="294" t="s">
        <v>41</v>
      </c>
      <c r="H12" s="295"/>
      <c r="I12" s="296"/>
      <c r="J12" s="185"/>
    </row>
    <row r="13" spans="1:10" ht="16.5" x14ac:dyDescent="0.3">
      <c r="B13" s="168"/>
      <c r="C13" s="152"/>
      <c r="D13" s="159"/>
      <c r="E13" s="144"/>
      <c r="F13" s="159"/>
      <c r="G13" s="225"/>
      <c r="H13" s="145"/>
      <c r="I13" s="146"/>
      <c r="J13" s="162"/>
    </row>
    <row r="14" spans="1:10" ht="16.5" thickBot="1" x14ac:dyDescent="0.3">
      <c r="B14" s="39"/>
      <c r="C14" s="153"/>
      <c r="D14" s="48"/>
      <c r="E14" s="8"/>
      <c r="F14" s="21"/>
      <c r="G14" s="45"/>
      <c r="H14" s="23"/>
      <c r="I14" s="24"/>
      <c r="J14" s="125"/>
    </row>
    <row r="15" spans="1:10" ht="15.75" thickBot="1" x14ac:dyDescent="0.3">
      <c r="B15" s="107"/>
      <c r="J15" s="108"/>
    </row>
    <row r="16" spans="1:10" x14ac:dyDescent="0.25">
      <c r="B16" s="276" t="s">
        <v>42</v>
      </c>
      <c r="C16" s="278"/>
      <c r="D16" s="279"/>
      <c r="E16" s="279"/>
      <c r="F16" s="279"/>
      <c r="G16" s="279"/>
      <c r="H16" s="279"/>
      <c r="I16" s="279"/>
      <c r="J16" s="280"/>
    </row>
    <row r="17" spans="2:10" ht="15.75" thickBot="1" x14ac:dyDescent="0.3">
      <c r="B17" s="277"/>
      <c r="C17" s="281"/>
      <c r="D17" s="282"/>
      <c r="E17" s="282"/>
      <c r="F17" s="282"/>
      <c r="G17" s="282"/>
      <c r="H17" s="282"/>
      <c r="I17" s="282"/>
      <c r="J17" s="283"/>
    </row>
    <row r="18" spans="2:10" ht="15.75" thickBot="1" x14ac:dyDescent="0.3">
      <c r="B18" s="109" t="s">
        <v>43</v>
      </c>
      <c r="C18" s="110" t="s">
        <v>44</v>
      </c>
      <c r="D18" s="111"/>
      <c r="E18" s="45"/>
      <c r="F18" s="112" t="s">
        <v>45</v>
      </c>
      <c r="G18" s="113" t="s">
        <v>46</v>
      </c>
      <c r="H18" s="114" t="s">
        <v>47</v>
      </c>
      <c r="I18" s="127" t="s">
        <v>48</v>
      </c>
      <c r="J18" s="103"/>
    </row>
    <row r="19" spans="2:10" x14ac:dyDescent="0.25">
      <c r="J19" s="2"/>
    </row>
  </sheetData>
  <mergeCells count="15">
    <mergeCell ref="B3:F3"/>
    <mergeCell ref="G3:J3"/>
    <mergeCell ref="B7:D7"/>
    <mergeCell ref="G7:J7"/>
    <mergeCell ref="C8:D8"/>
    <mergeCell ref="G8:I8"/>
    <mergeCell ref="B16:B17"/>
    <mergeCell ref="C16:J17"/>
    <mergeCell ref="C9:D9"/>
    <mergeCell ref="G9:I9"/>
    <mergeCell ref="B10:D10"/>
    <mergeCell ref="G10:J10"/>
    <mergeCell ref="B11:B12"/>
    <mergeCell ref="G11:J11"/>
    <mergeCell ref="G12:I12"/>
  </mergeCells>
  <conditionalFormatting sqref="C13:F14">
    <cfRule type="containsText" dxfId="53" priority="2" operator="containsText" text="No">
      <formula>NOT(ISERROR(SEARCH("No",C13)))</formula>
    </cfRule>
  </conditionalFormatting>
  <conditionalFormatting sqref="F13">
    <cfRule type="containsText" dxfId="52" priority="1" operator="containsText" text="No">
      <formula>NOT(ISERROR(SEARCH("No",F13)))</formula>
    </cfRule>
  </conditionalFormatting>
  <conditionalFormatting sqref="H13:I14">
    <cfRule type="cellIs" dxfId="51" priority="3" operator="greaterThan">
      <formula>#REF!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BDD7B-E677-4B0F-997D-F0016EFE08B6}">
  <dimension ref="A1:J19"/>
  <sheetViews>
    <sheetView zoomScale="60" zoomScaleNormal="60" workbookViewId="0">
      <selection activeCell="N32" sqref="N32"/>
    </sheetView>
  </sheetViews>
  <sheetFormatPr baseColWidth="10" defaultColWidth="8.85546875" defaultRowHeight="15" x14ac:dyDescent="0.25"/>
  <cols>
    <col min="2" max="2" width="39.5703125" customWidth="1"/>
    <col min="3" max="3" width="13.42578125" customWidth="1"/>
    <col min="4" max="4" width="12.5703125" customWidth="1"/>
    <col min="6" max="6" width="11.5703125" customWidth="1"/>
    <col min="7" max="7" width="16.140625" customWidth="1"/>
    <col min="8" max="8" width="12.42578125" customWidth="1"/>
    <col min="9" max="9" width="27.42578125" customWidth="1"/>
    <col min="10" max="10" width="13.42578125" customWidth="1"/>
  </cols>
  <sheetData>
    <row r="1" spans="1:10" ht="18.75" x14ac:dyDescent="0.25">
      <c r="B1" s="104" t="s">
        <v>24</v>
      </c>
      <c r="C1" s="105"/>
      <c r="D1" s="105"/>
      <c r="E1" s="105"/>
      <c r="F1" s="105"/>
      <c r="G1" s="105"/>
      <c r="H1" s="105"/>
      <c r="I1" s="105"/>
      <c r="J1" s="106"/>
    </row>
    <row r="2" spans="1:10" x14ac:dyDescent="0.25">
      <c r="B2" s="107"/>
      <c r="J2" s="108"/>
    </row>
    <row r="3" spans="1:10" ht="15.75" x14ac:dyDescent="0.25">
      <c r="B3" s="265" t="s">
        <v>7</v>
      </c>
      <c r="C3" s="266"/>
      <c r="D3" s="266"/>
      <c r="E3" s="266"/>
      <c r="F3" s="266"/>
      <c r="G3" s="267" t="s">
        <v>25</v>
      </c>
      <c r="H3" s="267"/>
      <c r="I3" s="267"/>
      <c r="J3" s="268"/>
    </row>
    <row r="4" spans="1:10" ht="15.75" x14ac:dyDescent="0.25">
      <c r="A4" s="31"/>
      <c r="B4" s="218" t="s">
        <v>1</v>
      </c>
      <c r="C4" s="64" t="s">
        <v>59</v>
      </c>
      <c r="D4" s="169"/>
      <c r="E4" s="169"/>
      <c r="F4" s="169"/>
      <c r="G4" s="169"/>
      <c r="H4" s="169"/>
      <c r="I4" s="169"/>
      <c r="J4" s="219"/>
    </row>
    <row r="5" spans="1:10" ht="15.75" x14ac:dyDescent="0.25">
      <c r="B5" s="220" t="s">
        <v>27</v>
      </c>
      <c r="C5" s="163" t="str">
        <f>D11</f>
        <v>Evaluación Formal/Técnica (Sobre 2)</v>
      </c>
      <c r="D5" s="163"/>
      <c r="E5" s="163"/>
      <c r="F5" s="163"/>
      <c r="G5" s="164" t="s">
        <v>29</v>
      </c>
      <c r="H5" s="65" t="str">
        <f>G10</f>
        <v>APERTURA 2 - Económica</v>
      </c>
      <c r="I5" s="165"/>
      <c r="J5" s="221">
        <v>46070</v>
      </c>
    </row>
    <row r="6" spans="1:10" ht="16.5" thickBot="1" x14ac:dyDescent="0.3">
      <c r="B6" s="187"/>
      <c r="C6" s="14"/>
      <c r="D6" s="14"/>
      <c r="E6" s="14"/>
      <c r="F6" s="14"/>
      <c r="G6" s="222"/>
      <c r="H6" s="223"/>
      <c r="I6" s="223"/>
      <c r="J6" s="115"/>
    </row>
    <row r="7" spans="1:10" ht="15.75" thickBot="1" x14ac:dyDescent="0.3">
      <c r="B7" s="269" t="s">
        <v>30</v>
      </c>
      <c r="C7" s="270"/>
      <c r="D7" s="271"/>
      <c r="E7" s="1"/>
      <c r="F7" s="3"/>
      <c r="G7" s="269" t="s">
        <v>31</v>
      </c>
      <c r="H7" s="270"/>
      <c r="I7" s="270"/>
      <c r="J7" s="271"/>
    </row>
    <row r="8" spans="1:10" ht="16.5" thickBot="1" x14ac:dyDescent="0.3">
      <c r="B8" s="186" t="s">
        <v>32</v>
      </c>
      <c r="C8" s="272"/>
      <c r="D8" s="273"/>
      <c r="E8" s="143"/>
      <c r="F8" s="143"/>
      <c r="G8" s="274" t="s">
        <v>31</v>
      </c>
      <c r="H8" s="275"/>
      <c r="I8" s="275"/>
      <c r="J8" s="189">
        <f>C8*1.3</f>
        <v>0</v>
      </c>
    </row>
    <row r="9" spans="1:10" ht="16.5" thickBot="1" x14ac:dyDescent="0.3">
      <c r="B9" s="184"/>
      <c r="C9" s="284"/>
      <c r="D9" s="284"/>
      <c r="E9" s="143"/>
      <c r="F9" s="143"/>
      <c r="G9" s="285"/>
      <c r="H9" s="285"/>
      <c r="I9" s="285"/>
      <c r="J9" s="224"/>
    </row>
    <row r="10" spans="1:10" ht="16.5" thickBot="1" x14ac:dyDescent="0.3">
      <c r="B10" s="286" t="s">
        <v>33</v>
      </c>
      <c r="C10" s="287"/>
      <c r="D10" s="288"/>
      <c r="E10" s="143"/>
      <c r="F10" s="143"/>
      <c r="G10" s="286" t="s">
        <v>34</v>
      </c>
      <c r="H10" s="287"/>
      <c r="I10" s="287"/>
      <c r="J10" s="288"/>
    </row>
    <row r="11" spans="1:10" ht="45.75" thickBot="1" x14ac:dyDescent="0.3">
      <c r="B11" s="289" t="s">
        <v>35</v>
      </c>
      <c r="C11" s="128" t="s">
        <v>36</v>
      </c>
      <c r="D11" s="129" t="s">
        <v>37</v>
      </c>
      <c r="E11" s="5"/>
      <c r="F11" s="46" t="s">
        <v>38</v>
      </c>
      <c r="G11" s="291" t="s">
        <v>39</v>
      </c>
      <c r="H11" s="292"/>
      <c r="I11" s="292"/>
      <c r="J11" s="293"/>
    </row>
    <row r="12" spans="1:10" ht="15.75" thickBot="1" x14ac:dyDescent="0.3">
      <c r="B12" s="305"/>
      <c r="C12" s="188" t="s">
        <v>40</v>
      </c>
      <c r="D12" s="183" t="s">
        <v>40</v>
      </c>
      <c r="E12" s="6"/>
      <c r="F12" s="182"/>
      <c r="G12" s="294" t="s">
        <v>41</v>
      </c>
      <c r="H12" s="295"/>
      <c r="I12" s="296"/>
      <c r="J12" s="185"/>
    </row>
    <row r="13" spans="1:10" ht="16.5" x14ac:dyDescent="0.3">
      <c r="B13" s="233" t="s">
        <v>60</v>
      </c>
      <c r="C13" s="152" t="s">
        <v>52</v>
      </c>
      <c r="D13" s="159"/>
      <c r="E13" s="144"/>
      <c r="F13" s="159"/>
      <c r="G13" s="225"/>
      <c r="H13" s="145"/>
      <c r="I13" s="146"/>
      <c r="J13" s="162"/>
    </row>
    <row r="14" spans="1:10" ht="16.5" x14ac:dyDescent="0.3">
      <c r="B14" s="231" t="s">
        <v>61</v>
      </c>
      <c r="C14" s="152" t="s">
        <v>52</v>
      </c>
      <c r="D14" s="226"/>
      <c r="E14" s="144"/>
      <c r="F14" s="227"/>
      <c r="G14" s="225"/>
      <c r="H14" s="228"/>
      <c r="I14" s="229"/>
      <c r="J14" s="230"/>
    </row>
    <row r="15" spans="1:10" ht="15.75" x14ac:dyDescent="0.25">
      <c r="B15" s="232" t="s">
        <v>62</v>
      </c>
      <c r="C15" s="152" t="s">
        <v>52</v>
      </c>
      <c r="D15" s="48"/>
      <c r="E15" s="8"/>
      <c r="F15" s="21"/>
      <c r="G15" s="45"/>
      <c r="H15" s="23"/>
      <c r="I15" s="24"/>
      <c r="J15" s="125"/>
    </row>
    <row r="16" spans="1:10" x14ac:dyDescent="0.25">
      <c r="B16" s="107"/>
      <c r="J16" s="108"/>
    </row>
    <row r="17" spans="2:10" x14ac:dyDescent="0.25">
      <c r="B17" s="276" t="s">
        <v>42</v>
      </c>
      <c r="C17" s="278" t="s">
        <v>105</v>
      </c>
      <c r="D17" s="279"/>
      <c r="E17" s="279"/>
      <c r="F17" s="279"/>
      <c r="G17" s="279"/>
      <c r="H17" s="279"/>
      <c r="I17" s="279"/>
      <c r="J17" s="280"/>
    </row>
    <row r="18" spans="2:10" ht="15.75" thickBot="1" x14ac:dyDescent="0.3">
      <c r="B18" s="277"/>
      <c r="C18" s="281"/>
      <c r="D18" s="282"/>
      <c r="E18" s="282"/>
      <c r="F18" s="282"/>
      <c r="G18" s="282"/>
      <c r="H18" s="282"/>
      <c r="I18" s="282"/>
      <c r="J18" s="283"/>
    </row>
    <row r="19" spans="2:10" ht="15.75" thickBot="1" x14ac:dyDescent="0.3">
      <c r="B19" s="109" t="s">
        <v>43</v>
      </c>
      <c r="C19" s="110" t="s">
        <v>44</v>
      </c>
      <c r="D19" s="111"/>
      <c r="E19" s="45"/>
      <c r="F19" s="112" t="s">
        <v>45</v>
      </c>
      <c r="G19" s="113" t="s">
        <v>46</v>
      </c>
      <c r="H19" s="114" t="s">
        <v>47</v>
      </c>
      <c r="I19" s="127" t="s">
        <v>48</v>
      </c>
      <c r="J19" s="103"/>
    </row>
  </sheetData>
  <mergeCells count="15">
    <mergeCell ref="B3:F3"/>
    <mergeCell ref="G3:J3"/>
    <mergeCell ref="B7:D7"/>
    <mergeCell ref="G7:J7"/>
    <mergeCell ref="C8:D8"/>
    <mergeCell ref="G8:I8"/>
    <mergeCell ref="B17:B18"/>
    <mergeCell ref="C17:J18"/>
    <mergeCell ref="C9:D9"/>
    <mergeCell ref="G9:I9"/>
    <mergeCell ref="B10:D10"/>
    <mergeCell ref="G10:J10"/>
    <mergeCell ref="B11:B12"/>
    <mergeCell ref="G11:J11"/>
    <mergeCell ref="G12:I12"/>
  </mergeCells>
  <conditionalFormatting sqref="C13:F15">
    <cfRule type="containsText" dxfId="50" priority="2" operator="containsText" text="No">
      <formula>NOT(ISERROR(SEARCH("No",C13)))</formula>
    </cfRule>
  </conditionalFormatting>
  <conditionalFormatting sqref="F13:F14">
    <cfRule type="containsText" dxfId="49" priority="1" operator="containsText" text="No">
      <formula>NOT(ISERROR(SEARCH("No",F13)))</formula>
    </cfRule>
  </conditionalFormatting>
  <conditionalFormatting sqref="H13:I15">
    <cfRule type="cellIs" dxfId="48" priority="3" operator="greaterThan">
      <formula>#REF!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910A-4E32-4B0F-B0F1-E4B04D085191}">
  <dimension ref="A1:J19"/>
  <sheetViews>
    <sheetView topLeftCell="A11" zoomScale="70" zoomScaleNormal="70" workbookViewId="0">
      <selection activeCell="C18" sqref="C18"/>
    </sheetView>
  </sheetViews>
  <sheetFormatPr baseColWidth="10" defaultColWidth="11.42578125" defaultRowHeight="15" x14ac:dyDescent="0.25"/>
  <cols>
    <col min="1" max="1" width="6.42578125" customWidth="1"/>
    <col min="2" max="2" width="45.42578125" customWidth="1"/>
    <col min="3" max="3" width="15.85546875" customWidth="1"/>
    <col min="4" max="4" width="14.140625" customWidth="1"/>
    <col min="5" max="5" width="6.5703125" customWidth="1"/>
    <col min="6" max="6" width="15.7109375" customWidth="1"/>
    <col min="7" max="7" width="14.5703125" customWidth="1"/>
    <col min="8" max="8" width="18.5703125" customWidth="1"/>
    <col min="9" max="9" width="18.42578125" customWidth="1"/>
    <col min="10" max="10" width="23" customWidth="1"/>
  </cols>
  <sheetData>
    <row r="1" spans="1:10" ht="18.75" x14ac:dyDescent="0.25">
      <c r="B1" s="104" t="s">
        <v>24</v>
      </c>
      <c r="C1" s="105"/>
      <c r="D1" s="105"/>
      <c r="E1" s="105"/>
      <c r="F1" s="105"/>
      <c r="G1" s="105"/>
      <c r="H1" s="105"/>
      <c r="I1" s="105"/>
      <c r="J1" s="106"/>
    </row>
    <row r="2" spans="1:10" x14ac:dyDescent="0.25">
      <c r="B2" s="107"/>
      <c r="J2" s="108"/>
    </row>
    <row r="3" spans="1:10" ht="15.75" x14ac:dyDescent="0.25">
      <c r="B3" s="265" t="s">
        <v>6</v>
      </c>
      <c r="C3" s="266"/>
      <c r="D3" s="266"/>
      <c r="E3" s="266"/>
      <c r="F3" s="266"/>
      <c r="G3" s="267" t="s">
        <v>63</v>
      </c>
      <c r="H3" s="267"/>
      <c r="I3" s="267"/>
      <c r="J3" s="268"/>
    </row>
    <row r="4" spans="1:10" ht="30.6" customHeight="1" x14ac:dyDescent="0.25">
      <c r="A4" s="31"/>
      <c r="B4" s="218" t="s">
        <v>1</v>
      </c>
      <c r="C4" s="64" t="s">
        <v>64</v>
      </c>
      <c r="D4" s="169"/>
      <c r="E4" s="169"/>
      <c r="F4" s="169"/>
      <c r="G4" s="169"/>
      <c r="H4" s="169"/>
      <c r="I4" s="169"/>
      <c r="J4" s="219"/>
    </row>
    <row r="5" spans="1:10" ht="15.75" x14ac:dyDescent="0.25">
      <c r="B5" s="220" t="s">
        <v>27</v>
      </c>
      <c r="C5" s="163" t="s">
        <v>65</v>
      </c>
      <c r="D5" s="163"/>
      <c r="E5" s="163"/>
      <c r="F5" s="163"/>
      <c r="G5" s="164" t="s">
        <v>29</v>
      </c>
      <c r="H5" s="65" t="s">
        <v>66</v>
      </c>
      <c r="I5" s="165"/>
      <c r="J5" s="221"/>
    </row>
    <row r="6" spans="1:10" ht="16.5" thickBot="1" x14ac:dyDescent="0.3">
      <c r="B6" s="187"/>
      <c r="C6" s="14"/>
      <c r="D6" s="14"/>
      <c r="E6" s="14"/>
      <c r="F6" s="14"/>
      <c r="G6" s="222"/>
      <c r="H6" s="223"/>
      <c r="I6" s="223"/>
      <c r="J6" s="115"/>
    </row>
    <row r="7" spans="1:10" ht="15.75" thickBot="1" x14ac:dyDescent="0.3">
      <c r="B7" s="269" t="s">
        <v>30</v>
      </c>
      <c r="C7" s="270"/>
      <c r="D7" s="271"/>
      <c r="E7" s="1"/>
      <c r="F7" s="3"/>
      <c r="G7" s="269" t="s">
        <v>31</v>
      </c>
      <c r="H7" s="270"/>
      <c r="I7" s="270"/>
      <c r="J7" s="271"/>
    </row>
    <row r="8" spans="1:10" ht="16.5" thickBot="1" x14ac:dyDescent="0.3">
      <c r="B8" s="186" t="s">
        <v>32</v>
      </c>
      <c r="C8" s="272">
        <v>250000000</v>
      </c>
      <c r="D8" s="273"/>
      <c r="E8" s="143"/>
      <c r="F8" s="143"/>
      <c r="G8" s="274" t="s">
        <v>31</v>
      </c>
      <c r="H8" s="275"/>
      <c r="I8" s="275"/>
      <c r="J8" s="189">
        <f>C8*1.3</f>
        <v>325000000</v>
      </c>
    </row>
    <row r="9" spans="1:10" ht="16.5" thickBot="1" x14ac:dyDescent="0.3">
      <c r="B9" s="184"/>
      <c r="C9" s="284"/>
      <c r="D9" s="284"/>
      <c r="E9" s="143"/>
      <c r="F9" s="143"/>
      <c r="G9" s="285"/>
      <c r="H9" s="285"/>
      <c r="I9" s="285"/>
      <c r="J9" s="224"/>
    </row>
    <row r="10" spans="1:10" ht="16.5" thickBot="1" x14ac:dyDescent="0.3">
      <c r="B10" s="286" t="s">
        <v>33</v>
      </c>
      <c r="C10" s="287"/>
      <c r="D10" s="288"/>
      <c r="E10" s="143"/>
      <c r="F10" s="143"/>
      <c r="G10" s="286" t="s">
        <v>34</v>
      </c>
      <c r="H10" s="287"/>
      <c r="I10" s="287"/>
      <c r="J10" s="288"/>
    </row>
    <row r="11" spans="1:10" ht="45.75" thickBot="1" x14ac:dyDescent="0.3">
      <c r="B11" s="289" t="s">
        <v>35</v>
      </c>
      <c r="C11" s="128" t="s">
        <v>36</v>
      </c>
      <c r="D11" s="129" t="s">
        <v>37</v>
      </c>
      <c r="E11" s="5"/>
      <c r="F11" s="46" t="s">
        <v>38</v>
      </c>
      <c r="G11" s="291" t="s">
        <v>39</v>
      </c>
      <c r="H11" s="292"/>
      <c r="I11" s="292"/>
      <c r="J11" s="293"/>
    </row>
    <row r="12" spans="1:10" ht="15.75" thickBot="1" x14ac:dyDescent="0.3">
      <c r="B12" s="290"/>
      <c r="C12" s="188" t="s">
        <v>40</v>
      </c>
      <c r="D12" s="183" t="s">
        <v>40</v>
      </c>
      <c r="E12" s="6"/>
      <c r="F12" s="182"/>
      <c r="G12" s="294" t="s">
        <v>41</v>
      </c>
      <c r="H12" s="295"/>
      <c r="I12" s="296"/>
      <c r="J12" s="185"/>
    </row>
    <row r="13" spans="1:10" ht="16.5" x14ac:dyDescent="0.3">
      <c r="B13" s="168" t="s">
        <v>67</v>
      </c>
      <c r="C13" s="152" t="s">
        <v>52</v>
      </c>
      <c r="D13" s="159" t="s">
        <v>55</v>
      </c>
      <c r="E13" s="144"/>
      <c r="F13" s="255" t="str">
        <f>F18</f>
        <v>Descalificado</v>
      </c>
      <c r="G13" s="225"/>
      <c r="H13" s="145"/>
      <c r="I13" s="146"/>
      <c r="J13" s="162"/>
    </row>
    <row r="14" spans="1:10" ht="16.5" thickBot="1" x14ac:dyDescent="0.3">
      <c r="B14" s="39"/>
      <c r="C14" s="153"/>
      <c r="D14" s="48"/>
      <c r="E14" s="8"/>
      <c r="F14" s="21"/>
      <c r="G14" s="45"/>
      <c r="H14" s="23"/>
      <c r="I14" s="24"/>
      <c r="J14" s="125"/>
    </row>
    <row r="15" spans="1:10" ht="15.75" thickBot="1" x14ac:dyDescent="0.3">
      <c r="B15" s="107"/>
      <c r="J15" s="108"/>
    </row>
    <row r="16" spans="1:10" x14ac:dyDescent="0.25">
      <c r="B16" s="276" t="s">
        <v>42</v>
      </c>
      <c r="C16" s="278" t="s">
        <v>68</v>
      </c>
      <c r="D16" s="279"/>
      <c r="E16" s="279"/>
      <c r="F16" s="279"/>
      <c r="G16" s="279"/>
      <c r="H16" s="279"/>
      <c r="I16" s="279"/>
      <c r="J16" s="280"/>
    </row>
    <row r="17" spans="2:10" ht="15.75" thickBot="1" x14ac:dyDescent="0.3">
      <c r="B17" s="277"/>
      <c r="C17" s="281"/>
      <c r="D17" s="282"/>
      <c r="E17" s="282"/>
      <c r="F17" s="282"/>
      <c r="G17" s="282"/>
      <c r="H17" s="282"/>
      <c r="I17" s="282"/>
      <c r="J17" s="283"/>
    </row>
    <row r="18" spans="2:10" ht="15.75" thickBot="1" x14ac:dyDescent="0.3">
      <c r="B18" s="109" t="s">
        <v>43</v>
      </c>
      <c r="C18" s="110" t="s">
        <v>44</v>
      </c>
      <c r="D18" s="111"/>
      <c r="E18" s="45"/>
      <c r="F18" s="112" t="s">
        <v>45</v>
      </c>
      <c r="G18" s="113" t="s">
        <v>46</v>
      </c>
      <c r="H18" s="114" t="s">
        <v>47</v>
      </c>
      <c r="I18" s="127" t="s">
        <v>48</v>
      </c>
      <c r="J18" s="103"/>
    </row>
    <row r="19" spans="2:10" x14ac:dyDescent="0.25">
      <c r="J19" s="2"/>
    </row>
  </sheetData>
  <mergeCells count="15">
    <mergeCell ref="B16:B17"/>
    <mergeCell ref="C16:J17"/>
    <mergeCell ref="C9:D9"/>
    <mergeCell ref="G9:I9"/>
    <mergeCell ref="B10:D10"/>
    <mergeCell ref="G10:J10"/>
    <mergeCell ref="B11:B12"/>
    <mergeCell ref="G11:J11"/>
    <mergeCell ref="G12:I12"/>
    <mergeCell ref="B3:F3"/>
    <mergeCell ref="G3:J3"/>
    <mergeCell ref="B7:D7"/>
    <mergeCell ref="G7:J7"/>
    <mergeCell ref="C8:D8"/>
    <mergeCell ref="G8:I8"/>
  </mergeCells>
  <conditionalFormatting sqref="C13:F14">
    <cfRule type="containsText" dxfId="47" priority="2" operator="containsText" text="No">
      <formula>NOT(ISERROR(SEARCH("No",C13)))</formula>
    </cfRule>
  </conditionalFormatting>
  <conditionalFormatting sqref="F13">
    <cfRule type="containsText" dxfId="46" priority="1" operator="containsText" text="No">
      <formula>NOT(ISERROR(SEARCH("No",F13)))</formula>
    </cfRule>
  </conditionalFormatting>
  <conditionalFormatting sqref="H13:I14">
    <cfRule type="cellIs" dxfId="45" priority="3" operator="greaterThan">
      <formula>#REF!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65F7-D4DE-4953-8EB7-D99E76517A9B}">
  <dimension ref="A1:J24"/>
  <sheetViews>
    <sheetView zoomScale="70" zoomScaleNormal="70" workbookViewId="0">
      <selection activeCell="N10" sqref="N10"/>
    </sheetView>
  </sheetViews>
  <sheetFormatPr baseColWidth="10" defaultColWidth="11.42578125" defaultRowHeight="15" x14ac:dyDescent="0.25"/>
  <cols>
    <col min="2" max="2" width="36.42578125" customWidth="1"/>
    <col min="3" max="3" width="18.42578125" customWidth="1"/>
    <col min="6" max="6" width="11.5703125" customWidth="1"/>
    <col min="7" max="7" width="17.140625" customWidth="1"/>
    <col min="8" max="8" width="20" customWidth="1"/>
    <col min="9" max="9" width="17" customWidth="1"/>
    <col min="10" max="10" width="13.42578125" customWidth="1"/>
  </cols>
  <sheetData>
    <row r="1" spans="1:10" ht="18.75" x14ac:dyDescent="0.25">
      <c r="A1" s="116"/>
      <c r="B1" s="117" t="s">
        <v>24</v>
      </c>
      <c r="C1" s="118">
        <f>'Resumen de procesos'!B1</f>
        <v>46062</v>
      </c>
      <c r="D1" s="117"/>
      <c r="E1" s="117"/>
      <c r="F1" s="117"/>
      <c r="G1" s="117"/>
      <c r="H1" s="117"/>
      <c r="I1" s="117"/>
      <c r="J1" s="119"/>
    </row>
    <row r="2" spans="1:10" x14ac:dyDescent="0.25">
      <c r="A2" s="107"/>
      <c r="J2" s="108"/>
    </row>
    <row r="3" spans="1:10" ht="15.75" x14ac:dyDescent="0.25">
      <c r="A3" s="335" t="s">
        <v>0</v>
      </c>
      <c r="B3" s="336"/>
      <c r="C3" s="66" t="s">
        <v>69</v>
      </c>
      <c r="D3" s="67"/>
      <c r="E3" s="67"/>
      <c r="F3" s="67"/>
      <c r="G3" s="167" t="s">
        <v>25</v>
      </c>
      <c r="H3" s="68"/>
      <c r="I3" s="68"/>
      <c r="J3" s="133"/>
    </row>
    <row r="4" spans="1:10" ht="15.75" x14ac:dyDescent="0.25">
      <c r="A4" s="337" t="s">
        <v>1</v>
      </c>
      <c r="B4" s="338"/>
      <c r="C4" s="66" t="s">
        <v>70</v>
      </c>
      <c r="D4" s="101"/>
      <c r="E4" s="101"/>
      <c r="F4" s="101"/>
      <c r="G4" s="101"/>
      <c r="H4" s="101"/>
      <c r="I4" s="101"/>
      <c r="J4" s="134"/>
    </row>
    <row r="5" spans="1:10" ht="15.75" x14ac:dyDescent="0.25">
      <c r="A5" s="337" t="s">
        <v>27</v>
      </c>
      <c r="B5" s="339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81"/>
      <c r="J5" s="135">
        <v>46073</v>
      </c>
    </row>
    <row r="6" spans="1:10" ht="16.5" thickBot="1" x14ac:dyDescent="0.3">
      <c r="A6" s="187"/>
      <c r="B6" s="13"/>
      <c r="C6" s="14"/>
      <c r="D6" s="14"/>
      <c r="E6" s="14"/>
      <c r="F6" s="14"/>
      <c r="G6" s="15"/>
      <c r="H6" s="16"/>
      <c r="I6" s="16"/>
      <c r="J6" s="115"/>
    </row>
    <row r="7" spans="1:10" ht="15.75" thickBot="1" x14ac:dyDescent="0.3">
      <c r="A7" s="120"/>
      <c r="B7" s="340" t="s">
        <v>30</v>
      </c>
      <c r="C7" s="341"/>
      <c r="D7" s="342"/>
      <c r="E7" s="1"/>
      <c r="F7" s="3"/>
      <c r="G7" s="343" t="s">
        <v>71</v>
      </c>
      <c r="H7" s="341"/>
      <c r="I7" s="341"/>
      <c r="J7" s="344"/>
    </row>
    <row r="8" spans="1:10" ht="16.5" thickBot="1" x14ac:dyDescent="0.3">
      <c r="A8" s="121"/>
      <c r="B8" s="330" t="s">
        <v>72</v>
      </c>
      <c r="C8" s="331"/>
      <c r="D8" s="97"/>
      <c r="E8" s="1"/>
      <c r="F8" s="3"/>
      <c r="G8" s="332" t="s">
        <v>73</v>
      </c>
      <c r="H8" s="333"/>
      <c r="I8" s="334"/>
      <c r="J8" s="197"/>
    </row>
    <row r="9" spans="1:10" ht="15.75" thickBot="1" x14ac:dyDescent="0.3">
      <c r="A9" s="121"/>
      <c r="B9" s="70"/>
      <c r="C9" s="70"/>
      <c r="D9" s="97"/>
      <c r="E9" s="1"/>
      <c r="F9" s="3"/>
      <c r="G9" s="69"/>
      <c r="H9" s="70"/>
      <c r="I9" s="70"/>
      <c r="J9" s="197"/>
    </row>
    <row r="10" spans="1:10" ht="16.5" thickBot="1" x14ac:dyDescent="0.3">
      <c r="A10" s="121"/>
      <c r="B10" s="311" t="s">
        <v>33</v>
      </c>
      <c r="C10" s="311"/>
      <c r="D10" s="312"/>
      <c r="E10" s="143"/>
      <c r="F10" s="143"/>
      <c r="G10" s="313" t="s">
        <v>34</v>
      </c>
      <c r="H10" s="314"/>
      <c r="I10" s="314"/>
      <c r="J10" s="315"/>
    </row>
    <row r="11" spans="1:10" ht="60.75" thickBot="1" x14ac:dyDescent="0.3">
      <c r="A11" s="121"/>
      <c r="B11" s="316" t="s">
        <v>35</v>
      </c>
      <c r="C11" s="17" t="s">
        <v>36</v>
      </c>
      <c r="D11" s="4" t="s">
        <v>37</v>
      </c>
      <c r="E11" s="5"/>
      <c r="F11" s="46" t="s">
        <v>38</v>
      </c>
      <c r="G11" s="291" t="s">
        <v>39</v>
      </c>
      <c r="H11" s="292"/>
      <c r="I11" s="292"/>
      <c r="J11" s="318"/>
    </row>
    <row r="12" spans="1:10" x14ac:dyDescent="0.25">
      <c r="A12" s="122"/>
      <c r="B12" s="317"/>
      <c r="C12" s="319" t="s">
        <v>40</v>
      </c>
      <c r="D12" s="321" t="s">
        <v>40</v>
      </c>
      <c r="E12" s="6"/>
      <c r="F12" s="323"/>
      <c r="G12" s="325" t="s">
        <v>41</v>
      </c>
      <c r="H12" s="326"/>
      <c r="I12" s="327"/>
      <c r="J12" s="328"/>
    </row>
    <row r="13" spans="1:10" x14ac:dyDescent="0.25">
      <c r="A13" s="122"/>
      <c r="B13" s="317"/>
      <c r="C13" s="320"/>
      <c r="D13" s="322"/>
      <c r="E13" s="6"/>
      <c r="F13" s="324"/>
      <c r="G13" s="42"/>
      <c r="H13" s="18"/>
      <c r="I13" s="25"/>
      <c r="J13" s="329"/>
    </row>
    <row r="14" spans="1:10" ht="16.5" thickBot="1" x14ac:dyDescent="0.3">
      <c r="A14" s="123"/>
      <c r="B14" s="317"/>
      <c r="C14" s="320"/>
      <c r="D14" s="322"/>
      <c r="E14" s="6"/>
      <c r="F14" s="324"/>
      <c r="G14" s="43"/>
      <c r="H14" s="19"/>
      <c r="I14" s="26"/>
      <c r="J14" s="329"/>
    </row>
    <row r="15" spans="1:10" ht="16.5" x14ac:dyDescent="0.3">
      <c r="A15" s="202">
        <v>1</v>
      </c>
      <c r="B15" s="178"/>
      <c r="C15" s="155"/>
      <c r="D15" s="152"/>
      <c r="E15" s="144"/>
      <c r="F15" s="159"/>
      <c r="G15" s="81"/>
      <c r="H15" s="166"/>
      <c r="I15" s="146"/>
      <c r="J15" s="162"/>
    </row>
    <row r="16" spans="1:10" ht="16.5" x14ac:dyDescent="0.3">
      <c r="A16" s="131">
        <v>2</v>
      </c>
      <c r="B16" s="179"/>
      <c r="C16" s="156"/>
      <c r="D16" s="148"/>
      <c r="E16" s="8"/>
      <c r="F16" s="149"/>
      <c r="G16" s="44"/>
      <c r="H16" s="7"/>
      <c r="I16" s="22"/>
      <c r="J16" s="124"/>
    </row>
    <row r="17" spans="1:10" ht="16.5" x14ac:dyDescent="0.3">
      <c r="A17" s="131">
        <v>3</v>
      </c>
      <c r="B17" s="179"/>
      <c r="C17" s="156"/>
      <c r="D17" s="47"/>
      <c r="E17" s="8"/>
      <c r="F17" s="20"/>
      <c r="G17" s="44"/>
      <c r="H17" s="7"/>
      <c r="I17" s="22"/>
      <c r="J17" s="124"/>
    </row>
    <row r="18" spans="1:10" ht="15.75" x14ac:dyDescent="0.25">
      <c r="A18" s="131">
        <v>4</v>
      </c>
      <c r="B18" s="180"/>
      <c r="C18" s="156"/>
      <c r="D18" s="47"/>
      <c r="E18" s="8"/>
      <c r="F18" s="20"/>
      <c r="G18" s="44"/>
      <c r="H18" s="7"/>
      <c r="I18" s="22"/>
      <c r="J18" s="124"/>
    </row>
    <row r="19" spans="1:10" ht="15.75" x14ac:dyDescent="0.25">
      <c r="A19" s="131">
        <v>5</v>
      </c>
      <c r="B19" s="180"/>
      <c r="C19" s="156"/>
      <c r="D19" s="47"/>
      <c r="E19" s="8"/>
      <c r="F19" s="20"/>
      <c r="G19" s="44"/>
      <c r="H19" s="7"/>
      <c r="I19" s="22"/>
      <c r="J19" s="124"/>
    </row>
    <row r="20" spans="1:10" ht="16.5" thickBot="1" x14ac:dyDescent="0.3">
      <c r="A20" s="205">
        <v>6</v>
      </c>
      <c r="B20" s="59"/>
      <c r="C20" s="157"/>
      <c r="D20" s="48"/>
      <c r="E20" s="8"/>
      <c r="F20" s="21"/>
      <c r="G20" s="45"/>
      <c r="H20" s="23"/>
      <c r="I20" s="24"/>
      <c r="J20" s="130"/>
    </row>
    <row r="21" spans="1:10" ht="15.75" thickBot="1" x14ac:dyDescent="0.3">
      <c r="A21" s="107"/>
      <c r="J21" s="108"/>
    </row>
    <row r="22" spans="1:10" x14ac:dyDescent="0.25">
      <c r="A22" s="126"/>
      <c r="B22" s="306" t="s">
        <v>42</v>
      </c>
      <c r="C22" s="278"/>
      <c r="D22" s="279"/>
      <c r="E22" s="279"/>
      <c r="F22" s="279"/>
      <c r="G22" s="279"/>
      <c r="H22" s="279"/>
      <c r="I22" s="279"/>
      <c r="J22" s="280"/>
    </row>
    <row r="23" spans="1:10" ht="15.75" thickBot="1" x14ac:dyDescent="0.3">
      <c r="A23" s="126"/>
      <c r="B23" s="307"/>
      <c r="C23" s="308"/>
      <c r="D23" s="309"/>
      <c r="E23" s="309"/>
      <c r="F23" s="309"/>
      <c r="G23" s="309"/>
      <c r="H23" s="309"/>
      <c r="I23" s="309"/>
      <c r="J23" s="310"/>
    </row>
    <row r="24" spans="1:10" ht="15.75" thickBot="1" x14ac:dyDescent="0.3">
      <c r="A24" s="98"/>
      <c r="B24" s="209" t="s">
        <v>43</v>
      </c>
      <c r="C24" s="210"/>
      <c r="D24" s="211"/>
      <c r="E24" s="212"/>
      <c r="F24" s="213" t="s">
        <v>45</v>
      </c>
      <c r="G24" s="214" t="s">
        <v>46</v>
      </c>
      <c r="H24" s="215" t="s">
        <v>47</v>
      </c>
      <c r="I24" s="216" t="s">
        <v>48</v>
      </c>
      <c r="J24" s="217"/>
    </row>
  </sheetData>
  <mergeCells count="18">
    <mergeCell ref="B8:C8"/>
    <mergeCell ref="G8:I8"/>
    <mergeCell ref="A3:B3"/>
    <mergeCell ref="A4:B4"/>
    <mergeCell ref="A5:B5"/>
    <mergeCell ref="B7:D7"/>
    <mergeCell ref="G7:J7"/>
    <mergeCell ref="B22:B23"/>
    <mergeCell ref="C22:J23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</mergeCells>
  <conditionalFormatting sqref="C15:C17">
    <cfRule type="containsText" dxfId="44" priority="3" operator="containsText" text="No">
      <formula>NOT(ISERROR(SEARCH("No",C15)))</formula>
    </cfRule>
  </conditionalFormatting>
  <conditionalFormatting sqref="C15:F20">
    <cfRule type="containsText" dxfId="43" priority="5" operator="containsText" text="No">
      <formula>NOT(ISERROR(SEARCH("No",C15)))</formula>
    </cfRule>
  </conditionalFormatting>
  <conditionalFormatting sqref="D16">
    <cfRule type="containsText" dxfId="42" priority="2" operator="containsText" text="No">
      <formula>NOT(ISERROR(SEARCH("No",D16)))</formula>
    </cfRule>
  </conditionalFormatting>
  <conditionalFormatting sqref="F16">
    <cfRule type="containsText" dxfId="41" priority="1" operator="containsText" text="No">
      <formula>NOT(ISERROR(SEARCH("No",F16)))</formula>
    </cfRule>
  </conditionalFormatting>
  <conditionalFormatting sqref="H15:I15 G16:I19 H20:I20">
    <cfRule type="cellIs" dxfId="40" priority="4" operator="greaterThan">
      <formula>#REF!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36DC-51EF-4800-A543-1009D6C223F3}">
  <dimension ref="A1:J24"/>
  <sheetViews>
    <sheetView zoomScale="60" zoomScaleNormal="60" workbookViewId="0">
      <selection activeCell="G3" sqref="G3"/>
    </sheetView>
  </sheetViews>
  <sheetFormatPr baseColWidth="10" defaultColWidth="11.42578125" defaultRowHeight="15" x14ac:dyDescent="0.25"/>
  <cols>
    <col min="2" max="2" width="36.42578125" customWidth="1"/>
    <col min="3" max="3" width="18.42578125" customWidth="1"/>
    <col min="6" max="6" width="11.5703125" customWidth="1"/>
    <col min="7" max="7" width="17.140625" customWidth="1"/>
    <col min="8" max="8" width="20" customWidth="1"/>
    <col min="9" max="9" width="17" customWidth="1"/>
    <col min="10" max="10" width="14.85546875" customWidth="1"/>
  </cols>
  <sheetData>
    <row r="1" spans="1:10" ht="18.75" x14ac:dyDescent="0.25">
      <c r="A1" s="116"/>
      <c r="B1" s="117" t="s">
        <v>24</v>
      </c>
      <c r="C1" s="118">
        <f>'Resumen de procesos'!B1</f>
        <v>46062</v>
      </c>
      <c r="D1" s="117"/>
      <c r="E1" s="117"/>
      <c r="F1" s="117"/>
      <c r="G1" s="117"/>
      <c r="H1" s="117"/>
      <c r="I1" s="117"/>
      <c r="J1" s="119"/>
    </row>
    <row r="2" spans="1:10" x14ac:dyDescent="0.25">
      <c r="A2" s="107"/>
      <c r="J2" s="108"/>
    </row>
    <row r="3" spans="1:10" ht="15.75" x14ac:dyDescent="0.25">
      <c r="A3" s="335" t="s">
        <v>0</v>
      </c>
      <c r="B3" s="336"/>
      <c r="C3" s="66" t="s">
        <v>74</v>
      </c>
      <c r="D3" s="67"/>
      <c r="E3" s="67"/>
      <c r="F3" s="67"/>
      <c r="G3" s="167" t="s">
        <v>25</v>
      </c>
      <c r="H3" s="68"/>
      <c r="I3" s="68"/>
      <c r="J3" s="133"/>
    </row>
    <row r="4" spans="1:10" ht="15.75" x14ac:dyDescent="0.25">
      <c r="A4" s="337" t="s">
        <v>1</v>
      </c>
      <c r="B4" s="338"/>
      <c r="C4" s="66" t="s">
        <v>75</v>
      </c>
      <c r="D4" s="101"/>
      <c r="E4" s="101"/>
      <c r="F4" s="101"/>
      <c r="G4" s="101"/>
      <c r="H4" s="101"/>
      <c r="I4" s="101"/>
      <c r="J4" s="134"/>
    </row>
    <row r="5" spans="1:10" ht="15.75" x14ac:dyDescent="0.25">
      <c r="A5" s="337" t="s">
        <v>27</v>
      </c>
      <c r="B5" s="339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81"/>
      <c r="J5" s="135">
        <v>46073</v>
      </c>
    </row>
    <row r="6" spans="1:10" ht="16.5" thickBot="1" x14ac:dyDescent="0.3">
      <c r="A6" s="187"/>
      <c r="B6" s="13"/>
      <c r="C6" s="14"/>
      <c r="D6" s="14"/>
      <c r="E6" s="14"/>
      <c r="F6" s="14"/>
      <c r="G6" s="15"/>
      <c r="H6" s="16"/>
      <c r="I6" s="16"/>
      <c r="J6" s="115"/>
    </row>
    <row r="7" spans="1:10" ht="15.75" thickBot="1" x14ac:dyDescent="0.3">
      <c r="A7" s="120"/>
      <c r="B7" s="340" t="s">
        <v>30</v>
      </c>
      <c r="C7" s="341"/>
      <c r="D7" s="342"/>
      <c r="E7" s="1"/>
      <c r="F7" s="3"/>
      <c r="G7" s="343" t="s">
        <v>71</v>
      </c>
      <c r="H7" s="341"/>
      <c r="I7" s="341"/>
      <c r="J7" s="344"/>
    </row>
    <row r="8" spans="1:10" ht="16.5" thickBot="1" x14ac:dyDescent="0.3">
      <c r="A8" s="121"/>
      <c r="B8" s="330" t="s">
        <v>72</v>
      </c>
      <c r="C8" s="331"/>
      <c r="D8" s="97"/>
      <c r="E8" s="1"/>
      <c r="F8" s="3"/>
      <c r="G8" s="332" t="s">
        <v>73</v>
      </c>
      <c r="H8" s="333"/>
      <c r="I8" s="334"/>
      <c r="J8" s="197"/>
    </row>
    <row r="9" spans="1:10" ht="15.75" thickBot="1" x14ac:dyDescent="0.3">
      <c r="A9" s="121"/>
      <c r="B9" s="70"/>
      <c r="C9" s="70"/>
      <c r="D9" s="97"/>
      <c r="E9" s="1"/>
      <c r="F9" s="3"/>
      <c r="G9" s="69"/>
      <c r="H9" s="70"/>
      <c r="I9" s="70"/>
      <c r="J9" s="197"/>
    </row>
    <row r="10" spans="1:10" ht="16.5" thickBot="1" x14ac:dyDescent="0.3">
      <c r="A10" s="121"/>
      <c r="B10" s="311" t="s">
        <v>33</v>
      </c>
      <c r="C10" s="311"/>
      <c r="D10" s="312"/>
      <c r="E10" s="143"/>
      <c r="F10" s="143"/>
      <c r="G10" s="313" t="s">
        <v>34</v>
      </c>
      <c r="H10" s="314"/>
      <c r="I10" s="314"/>
      <c r="J10" s="315"/>
    </row>
    <row r="11" spans="1:10" ht="60.75" thickBot="1" x14ac:dyDescent="0.3">
      <c r="A11" s="121"/>
      <c r="B11" s="316" t="s">
        <v>35</v>
      </c>
      <c r="C11" s="17" t="s">
        <v>36</v>
      </c>
      <c r="D11" s="4" t="s">
        <v>37</v>
      </c>
      <c r="E11" s="5"/>
      <c r="F11" s="46" t="s">
        <v>38</v>
      </c>
      <c r="G11" s="291" t="s">
        <v>39</v>
      </c>
      <c r="H11" s="292"/>
      <c r="I11" s="292"/>
      <c r="J11" s="318"/>
    </row>
    <row r="12" spans="1:10" x14ac:dyDescent="0.25">
      <c r="A12" s="122"/>
      <c r="B12" s="317"/>
      <c r="C12" s="319" t="s">
        <v>40</v>
      </c>
      <c r="D12" s="321" t="s">
        <v>40</v>
      </c>
      <c r="E12" s="6"/>
      <c r="F12" s="323"/>
      <c r="G12" s="325" t="s">
        <v>41</v>
      </c>
      <c r="H12" s="326"/>
      <c r="I12" s="327"/>
      <c r="J12" s="328"/>
    </row>
    <row r="13" spans="1:10" x14ac:dyDescent="0.25">
      <c r="A13" s="122"/>
      <c r="B13" s="317"/>
      <c r="C13" s="320"/>
      <c r="D13" s="322"/>
      <c r="E13" s="6"/>
      <c r="F13" s="324"/>
      <c r="G13" s="42"/>
      <c r="H13" s="18"/>
      <c r="I13" s="25"/>
      <c r="J13" s="329"/>
    </row>
    <row r="14" spans="1:10" ht="16.5" thickBot="1" x14ac:dyDescent="0.3">
      <c r="A14" s="123"/>
      <c r="B14" s="317"/>
      <c r="C14" s="320"/>
      <c r="D14" s="322"/>
      <c r="E14" s="6"/>
      <c r="F14" s="324"/>
      <c r="G14" s="43"/>
      <c r="H14" s="19"/>
      <c r="I14" s="26"/>
      <c r="J14" s="329"/>
    </row>
    <row r="15" spans="1:10" ht="16.5" x14ac:dyDescent="0.3">
      <c r="A15" s="202">
        <v>1</v>
      </c>
      <c r="B15" s="178"/>
      <c r="C15" s="155"/>
      <c r="D15" s="152"/>
      <c r="E15" s="144"/>
      <c r="F15" s="159"/>
      <c r="G15" s="81"/>
      <c r="H15" s="166"/>
      <c r="I15" s="146"/>
      <c r="J15" s="162"/>
    </row>
    <row r="16" spans="1:10" ht="16.5" x14ac:dyDescent="0.3">
      <c r="A16" s="131">
        <v>2</v>
      </c>
      <c r="B16" s="179"/>
      <c r="C16" s="156"/>
      <c r="D16" s="148"/>
      <c r="E16" s="8"/>
      <c r="F16" s="149"/>
      <c r="G16" s="44"/>
      <c r="H16" s="7"/>
      <c r="I16" s="22"/>
      <c r="J16" s="124"/>
    </row>
    <row r="17" spans="1:10" ht="16.5" x14ac:dyDescent="0.3">
      <c r="A17" s="131">
        <v>3</v>
      </c>
      <c r="B17" s="179"/>
      <c r="C17" s="156"/>
      <c r="D17" s="47"/>
      <c r="E17" s="8"/>
      <c r="F17" s="20"/>
      <c r="G17" s="44"/>
      <c r="H17" s="7"/>
      <c r="I17" s="22"/>
      <c r="J17" s="124"/>
    </row>
    <row r="18" spans="1:10" ht="15.75" x14ac:dyDescent="0.25">
      <c r="A18" s="131">
        <v>4</v>
      </c>
      <c r="B18" s="180"/>
      <c r="C18" s="156"/>
      <c r="D18" s="47"/>
      <c r="E18" s="8"/>
      <c r="F18" s="20"/>
      <c r="G18" s="44"/>
      <c r="H18" s="7"/>
      <c r="I18" s="22"/>
      <c r="J18" s="124"/>
    </row>
    <row r="19" spans="1:10" ht="15.75" x14ac:dyDescent="0.25">
      <c r="A19" s="131">
        <v>5</v>
      </c>
      <c r="B19" s="180"/>
      <c r="C19" s="156"/>
      <c r="D19" s="47"/>
      <c r="E19" s="8"/>
      <c r="F19" s="20"/>
      <c r="G19" s="44"/>
      <c r="H19" s="7"/>
      <c r="I19" s="22"/>
      <c r="J19" s="124"/>
    </row>
    <row r="20" spans="1:10" ht="16.5" thickBot="1" x14ac:dyDescent="0.3">
      <c r="A20" s="205">
        <v>6</v>
      </c>
      <c r="B20" s="59"/>
      <c r="C20" s="157"/>
      <c r="D20" s="48"/>
      <c r="E20" s="8"/>
      <c r="F20" s="21"/>
      <c r="G20" s="45"/>
      <c r="H20" s="23"/>
      <c r="I20" s="24"/>
      <c r="J20" s="130"/>
    </row>
    <row r="21" spans="1:10" ht="15.75" thickBot="1" x14ac:dyDescent="0.3">
      <c r="A21" s="107"/>
      <c r="J21" s="108"/>
    </row>
    <row r="22" spans="1:10" x14ac:dyDescent="0.25">
      <c r="A22" s="126"/>
      <c r="B22" s="306" t="s">
        <v>42</v>
      </c>
      <c r="C22" s="278"/>
      <c r="D22" s="279"/>
      <c r="E22" s="279"/>
      <c r="F22" s="279"/>
      <c r="G22" s="279"/>
      <c r="H22" s="279"/>
      <c r="I22" s="279"/>
      <c r="J22" s="280"/>
    </row>
    <row r="23" spans="1:10" ht="15.75" thickBot="1" x14ac:dyDescent="0.3">
      <c r="A23" s="126"/>
      <c r="B23" s="307"/>
      <c r="C23" s="308"/>
      <c r="D23" s="309"/>
      <c r="E23" s="309"/>
      <c r="F23" s="309"/>
      <c r="G23" s="309"/>
      <c r="H23" s="309"/>
      <c r="I23" s="309"/>
      <c r="J23" s="310"/>
    </row>
    <row r="24" spans="1:10" ht="15.75" thickBot="1" x14ac:dyDescent="0.3">
      <c r="A24" s="98"/>
      <c r="B24" s="209" t="s">
        <v>43</v>
      </c>
      <c r="C24" s="210"/>
      <c r="D24" s="211"/>
      <c r="E24" s="212"/>
      <c r="F24" s="213" t="s">
        <v>45</v>
      </c>
      <c r="G24" s="214" t="s">
        <v>46</v>
      </c>
      <c r="H24" s="215" t="s">
        <v>47</v>
      </c>
      <c r="I24" s="216" t="s">
        <v>48</v>
      </c>
      <c r="J24" s="217"/>
    </row>
  </sheetData>
  <mergeCells count="18">
    <mergeCell ref="B8:C8"/>
    <mergeCell ref="G8:I8"/>
    <mergeCell ref="A3:B3"/>
    <mergeCell ref="A4:B4"/>
    <mergeCell ref="A5:B5"/>
    <mergeCell ref="B7:D7"/>
    <mergeCell ref="G7:J7"/>
    <mergeCell ref="B22:B23"/>
    <mergeCell ref="C22:J23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</mergeCells>
  <conditionalFormatting sqref="C15:C17">
    <cfRule type="containsText" dxfId="39" priority="3" operator="containsText" text="No">
      <formula>NOT(ISERROR(SEARCH("No",C15)))</formula>
    </cfRule>
  </conditionalFormatting>
  <conditionalFormatting sqref="C15:F20">
    <cfRule type="containsText" dxfId="38" priority="5" operator="containsText" text="No">
      <formula>NOT(ISERROR(SEARCH("No",C15)))</formula>
    </cfRule>
  </conditionalFormatting>
  <conditionalFormatting sqref="D16">
    <cfRule type="containsText" dxfId="37" priority="2" operator="containsText" text="No">
      <formula>NOT(ISERROR(SEARCH("No",D16)))</formula>
    </cfRule>
  </conditionalFormatting>
  <conditionalFormatting sqref="F16">
    <cfRule type="containsText" dxfId="36" priority="1" operator="containsText" text="No">
      <formula>NOT(ISERROR(SEARCH("No",F16)))</formula>
    </cfRule>
  </conditionalFormatting>
  <conditionalFormatting sqref="H15:I15 G16:I19 H20:I20">
    <cfRule type="cellIs" dxfId="35" priority="4" operator="greaterThan">
      <formula>#REF!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6609-6786-4DED-AE20-9A6782349A39}">
  <dimension ref="A1:J24"/>
  <sheetViews>
    <sheetView zoomScale="60" zoomScaleNormal="60" workbookViewId="0">
      <selection activeCell="G3" sqref="G3"/>
    </sheetView>
  </sheetViews>
  <sheetFormatPr baseColWidth="10" defaultColWidth="11.42578125" defaultRowHeight="15" x14ac:dyDescent="0.25"/>
  <cols>
    <col min="2" max="2" width="33.5703125" customWidth="1"/>
    <col min="3" max="3" width="18.42578125" customWidth="1"/>
    <col min="6" max="6" width="11.5703125" customWidth="1"/>
    <col min="7" max="7" width="17.140625" customWidth="1"/>
    <col min="8" max="8" width="20" customWidth="1"/>
    <col min="9" max="9" width="17" customWidth="1"/>
    <col min="10" max="10" width="18.42578125" customWidth="1"/>
  </cols>
  <sheetData>
    <row r="1" spans="1:10" ht="18.75" x14ac:dyDescent="0.25">
      <c r="A1" s="116"/>
      <c r="B1" s="117" t="s">
        <v>24</v>
      </c>
      <c r="C1" s="118">
        <f>'Resumen de procesos'!B1</f>
        <v>46062</v>
      </c>
      <c r="D1" s="117"/>
      <c r="E1" s="117"/>
      <c r="F1" s="117"/>
      <c r="G1" s="117"/>
      <c r="H1" s="117"/>
      <c r="I1" s="117"/>
      <c r="J1" s="119"/>
    </row>
    <row r="2" spans="1:10" x14ac:dyDescent="0.25">
      <c r="A2" s="107"/>
      <c r="J2" s="108"/>
    </row>
    <row r="3" spans="1:10" ht="15.75" x14ac:dyDescent="0.25">
      <c r="A3" s="335" t="s">
        <v>0</v>
      </c>
      <c r="B3" s="336"/>
      <c r="C3" s="66" t="s">
        <v>76</v>
      </c>
      <c r="D3" s="67"/>
      <c r="E3" s="67"/>
      <c r="F3" s="67"/>
      <c r="G3" s="167" t="s">
        <v>25</v>
      </c>
      <c r="H3" s="68"/>
      <c r="I3" s="68"/>
      <c r="J3" s="133"/>
    </row>
    <row r="4" spans="1:10" ht="15.75" x14ac:dyDescent="0.25">
      <c r="A4" s="337" t="s">
        <v>1</v>
      </c>
      <c r="B4" s="338"/>
      <c r="C4" s="66" t="s">
        <v>77</v>
      </c>
      <c r="D4" s="101"/>
      <c r="E4" s="101"/>
      <c r="F4" s="101"/>
      <c r="G4" s="101"/>
      <c r="H4" s="101"/>
      <c r="I4" s="101"/>
      <c r="J4" s="134"/>
    </row>
    <row r="5" spans="1:10" ht="15.75" x14ac:dyDescent="0.25">
      <c r="A5" s="337" t="s">
        <v>27</v>
      </c>
      <c r="B5" s="339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81"/>
      <c r="J5" s="135">
        <v>46066</v>
      </c>
    </row>
    <row r="6" spans="1:10" ht="16.5" thickBot="1" x14ac:dyDescent="0.3">
      <c r="A6" s="187"/>
      <c r="B6" s="13"/>
      <c r="C6" s="14"/>
      <c r="D6" s="14"/>
      <c r="E6" s="14"/>
      <c r="F6" s="14"/>
      <c r="G6" s="15"/>
      <c r="H6" s="16"/>
      <c r="I6" s="16"/>
      <c r="J6" s="115"/>
    </row>
    <row r="7" spans="1:10" ht="15.75" thickBot="1" x14ac:dyDescent="0.3">
      <c r="A7" s="120"/>
      <c r="B7" s="340" t="s">
        <v>30</v>
      </c>
      <c r="C7" s="341"/>
      <c r="D7" s="342"/>
      <c r="E7" s="1"/>
      <c r="F7" s="3"/>
      <c r="G7" s="343" t="s">
        <v>71</v>
      </c>
      <c r="H7" s="341"/>
      <c r="I7" s="341"/>
      <c r="J7" s="344"/>
    </row>
    <row r="8" spans="1:10" ht="16.5" thickBot="1" x14ac:dyDescent="0.3">
      <c r="A8" s="121"/>
      <c r="B8" s="330" t="s">
        <v>72</v>
      </c>
      <c r="C8" s="331"/>
      <c r="D8" s="97"/>
      <c r="E8" s="1"/>
      <c r="F8" s="3"/>
      <c r="G8" s="332" t="s">
        <v>73</v>
      </c>
      <c r="H8" s="333"/>
      <c r="I8" s="334"/>
      <c r="J8" s="197"/>
    </row>
    <row r="9" spans="1:10" ht="15.75" thickBot="1" x14ac:dyDescent="0.3">
      <c r="A9" s="121"/>
      <c r="B9" s="70"/>
      <c r="C9" s="70"/>
      <c r="D9" s="97"/>
      <c r="E9" s="1"/>
      <c r="F9" s="3"/>
      <c r="G9" s="69"/>
      <c r="H9" s="70"/>
      <c r="I9" s="70"/>
      <c r="J9" s="197"/>
    </row>
    <row r="10" spans="1:10" ht="16.5" thickBot="1" x14ac:dyDescent="0.3">
      <c r="A10" s="121"/>
      <c r="B10" s="311" t="s">
        <v>33</v>
      </c>
      <c r="C10" s="311"/>
      <c r="D10" s="312"/>
      <c r="E10" s="143"/>
      <c r="F10" s="143"/>
      <c r="G10" s="313" t="s">
        <v>34</v>
      </c>
      <c r="H10" s="314"/>
      <c r="I10" s="314"/>
      <c r="J10" s="315"/>
    </row>
    <row r="11" spans="1:10" ht="60.75" thickBot="1" x14ac:dyDescent="0.3">
      <c r="A11" s="121"/>
      <c r="B11" s="316" t="s">
        <v>35</v>
      </c>
      <c r="C11" s="17" t="s">
        <v>36</v>
      </c>
      <c r="D11" s="4" t="s">
        <v>37</v>
      </c>
      <c r="E11" s="5"/>
      <c r="F11" s="46" t="s">
        <v>38</v>
      </c>
      <c r="G11" s="291" t="s">
        <v>39</v>
      </c>
      <c r="H11" s="292"/>
      <c r="I11" s="292"/>
      <c r="J11" s="318"/>
    </row>
    <row r="12" spans="1:10" x14ac:dyDescent="0.25">
      <c r="A12" s="122"/>
      <c r="B12" s="317"/>
      <c r="C12" s="319" t="s">
        <v>40</v>
      </c>
      <c r="D12" s="321" t="s">
        <v>40</v>
      </c>
      <c r="E12" s="6"/>
      <c r="F12" s="323"/>
      <c r="G12" s="325" t="s">
        <v>41</v>
      </c>
      <c r="H12" s="326"/>
      <c r="I12" s="327"/>
      <c r="J12" s="328"/>
    </row>
    <row r="13" spans="1:10" x14ac:dyDescent="0.25">
      <c r="A13" s="122"/>
      <c r="B13" s="317"/>
      <c r="C13" s="320"/>
      <c r="D13" s="322"/>
      <c r="E13" s="6"/>
      <c r="F13" s="324"/>
      <c r="G13" s="42"/>
      <c r="H13" s="18"/>
      <c r="I13" s="25"/>
      <c r="J13" s="329"/>
    </row>
    <row r="14" spans="1:10" ht="16.5" thickBot="1" x14ac:dyDescent="0.3">
      <c r="A14" s="123"/>
      <c r="B14" s="317"/>
      <c r="C14" s="320"/>
      <c r="D14" s="322"/>
      <c r="E14" s="6"/>
      <c r="F14" s="324"/>
      <c r="G14" s="43"/>
      <c r="H14" s="19"/>
      <c r="I14" s="26"/>
      <c r="J14" s="329"/>
    </row>
    <row r="15" spans="1:10" ht="16.5" x14ac:dyDescent="0.3">
      <c r="A15" s="202">
        <v>1</v>
      </c>
      <c r="B15" s="178"/>
      <c r="C15" s="155"/>
      <c r="D15" s="152"/>
      <c r="E15" s="144"/>
      <c r="F15" s="159"/>
      <c r="G15" s="81"/>
      <c r="H15" s="166"/>
      <c r="I15" s="146"/>
      <c r="J15" s="162"/>
    </row>
    <row r="16" spans="1:10" ht="16.5" x14ac:dyDescent="0.3">
      <c r="A16" s="131">
        <v>2</v>
      </c>
      <c r="B16" s="179"/>
      <c r="C16" s="156"/>
      <c r="D16" s="148"/>
      <c r="E16" s="8"/>
      <c r="F16" s="149"/>
      <c r="G16" s="44"/>
      <c r="H16" s="7"/>
      <c r="I16" s="22"/>
      <c r="J16" s="124"/>
    </row>
    <row r="17" spans="1:10" ht="16.5" x14ac:dyDescent="0.3">
      <c r="A17" s="131">
        <v>3</v>
      </c>
      <c r="B17" s="179"/>
      <c r="C17" s="156"/>
      <c r="D17" s="47"/>
      <c r="E17" s="8"/>
      <c r="F17" s="20"/>
      <c r="G17" s="44"/>
      <c r="H17" s="7"/>
      <c r="I17" s="22"/>
      <c r="J17" s="124"/>
    </row>
    <row r="18" spans="1:10" ht="15.75" x14ac:dyDescent="0.25">
      <c r="A18" s="131">
        <v>4</v>
      </c>
      <c r="B18" s="180"/>
      <c r="C18" s="156"/>
      <c r="D18" s="47"/>
      <c r="E18" s="8"/>
      <c r="F18" s="20"/>
      <c r="G18" s="44"/>
      <c r="H18" s="7"/>
      <c r="I18" s="22"/>
      <c r="J18" s="124"/>
    </row>
    <row r="19" spans="1:10" ht="15.75" x14ac:dyDescent="0.25">
      <c r="A19" s="131">
        <v>5</v>
      </c>
      <c r="B19" s="180"/>
      <c r="C19" s="156"/>
      <c r="D19" s="47"/>
      <c r="E19" s="8"/>
      <c r="F19" s="20"/>
      <c r="G19" s="44"/>
      <c r="H19" s="7"/>
      <c r="I19" s="22"/>
      <c r="J19" s="124"/>
    </row>
    <row r="20" spans="1:10" ht="16.5" thickBot="1" x14ac:dyDescent="0.3">
      <c r="A20" s="205">
        <v>6</v>
      </c>
      <c r="B20" s="59"/>
      <c r="C20" s="157"/>
      <c r="D20" s="48"/>
      <c r="E20" s="8"/>
      <c r="F20" s="21"/>
      <c r="G20" s="45"/>
      <c r="H20" s="23"/>
      <c r="I20" s="24"/>
      <c r="J20" s="130"/>
    </row>
    <row r="21" spans="1:10" ht="15.75" thickBot="1" x14ac:dyDescent="0.3">
      <c r="A21" s="107"/>
      <c r="J21" s="108"/>
    </row>
    <row r="22" spans="1:10" x14ac:dyDescent="0.25">
      <c r="A22" s="126"/>
      <c r="B22" s="306" t="s">
        <v>42</v>
      </c>
      <c r="C22" s="278"/>
      <c r="D22" s="279"/>
      <c r="E22" s="279"/>
      <c r="F22" s="279"/>
      <c r="G22" s="279"/>
      <c r="H22" s="279"/>
      <c r="I22" s="279"/>
      <c r="J22" s="280"/>
    </row>
    <row r="23" spans="1:10" ht="15.75" thickBot="1" x14ac:dyDescent="0.3">
      <c r="A23" s="126"/>
      <c r="B23" s="307"/>
      <c r="C23" s="308"/>
      <c r="D23" s="309"/>
      <c r="E23" s="309"/>
      <c r="F23" s="309"/>
      <c r="G23" s="309"/>
      <c r="H23" s="309"/>
      <c r="I23" s="309"/>
      <c r="J23" s="310"/>
    </row>
    <row r="24" spans="1:10" ht="15.75" thickBot="1" x14ac:dyDescent="0.3">
      <c r="A24" s="98"/>
      <c r="B24" s="209" t="s">
        <v>43</v>
      </c>
      <c r="C24" s="210"/>
      <c r="D24" s="211"/>
      <c r="E24" s="212"/>
      <c r="F24" s="213" t="s">
        <v>45</v>
      </c>
      <c r="G24" s="214" t="s">
        <v>46</v>
      </c>
      <c r="H24" s="215" t="s">
        <v>47</v>
      </c>
      <c r="I24" s="216" t="s">
        <v>48</v>
      </c>
      <c r="J24" s="217"/>
    </row>
  </sheetData>
  <mergeCells count="18">
    <mergeCell ref="B8:C8"/>
    <mergeCell ref="G8:I8"/>
    <mergeCell ref="A3:B3"/>
    <mergeCell ref="A4:B4"/>
    <mergeCell ref="A5:B5"/>
    <mergeCell ref="B7:D7"/>
    <mergeCell ref="G7:J7"/>
    <mergeCell ref="B22:B23"/>
    <mergeCell ref="C22:J23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</mergeCells>
  <conditionalFormatting sqref="C15:C17">
    <cfRule type="containsText" dxfId="34" priority="3" operator="containsText" text="No">
      <formula>NOT(ISERROR(SEARCH("No",C15)))</formula>
    </cfRule>
  </conditionalFormatting>
  <conditionalFormatting sqref="C15:F20">
    <cfRule type="containsText" dxfId="33" priority="5" operator="containsText" text="No">
      <formula>NOT(ISERROR(SEARCH("No",C15)))</formula>
    </cfRule>
  </conditionalFormatting>
  <conditionalFormatting sqref="D16">
    <cfRule type="containsText" dxfId="32" priority="2" operator="containsText" text="No">
      <formula>NOT(ISERROR(SEARCH("No",D16)))</formula>
    </cfRule>
  </conditionalFormatting>
  <conditionalFormatting sqref="F16">
    <cfRule type="containsText" dxfId="31" priority="1" operator="containsText" text="No">
      <formula>NOT(ISERROR(SEARCH("No",F16)))</formula>
    </cfRule>
  </conditionalFormatting>
  <conditionalFormatting sqref="H15:I15 G16:I19 H20:I20">
    <cfRule type="cellIs" dxfId="30" priority="4" operator="greaterThan">
      <formula>#REF!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71BB1-36AB-4A71-AE2E-A5F4D163A6A2}">
  <dimension ref="A1:J24"/>
  <sheetViews>
    <sheetView zoomScale="60" zoomScaleNormal="60" workbookViewId="0">
      <selection activeCell="G3" sqref="G3"/>
    </sheetView>
  </sheetViews>
  <sheetFormatPr baseColWidth="10" defaultColWidth="11.42578125" defaultRowHeight="15" x14ac:dyDescent="0.25"/>
  <cols>
    <col min="2" max="2" width="36.42578125" customWidth="1"/>
    <col min="3" max="3" width="18.42578125" customWidth="1"/>
    <col min="4" max="5" width="8.85546875"/>
    <col min="6" max="6" width="11.5703125" customWidth="1"/>
    <col min="7" max="7" width="17.140625" customWidth="1"/>
    <col min="8" max="8" width="20" customWidth="1"/>
    <col min="9" max="9" width="17" customWidth="1"/>
    <col min="10" max="10" width="15.42578125" customWidth="1"/>
  </cols>
  <sheetData>
    <row r="1" spans="1:10" ht="18.75" x14ac:dyDescent="0.25">
      <c r="A1" s="116"/>
      <c r="B1" s="117" t="s">
        <v>24</v>
      </c>
      <c r="C1" s="118">
        <f>'Resumen de procesos'!B1</f>
        <v>46062</v>
      </c>
      <c r="D1" s="117"/>
      <c r="E1" s="117"/>
      <c r="F1" s="117"/>
      <c r="G1" s="117"/>
      <c r="H1" s="117"/>
      <c r="I1" s="117"/>
      <c r="J1" s="119"/>
    </row>
    <row r="2" spans="1:10" x14ac:dyDescent="0.25">
      <c r="A2" s="107"/>
      <c r="J2" s="108"/>
    </row>
    <row r="3" spans="1:10" ht="15.75" x14ac:dyDescent="0.25">
      <c r="A3" s="335" t="s">
        <v>0</v>
      </c>
      <c r="B3" s="336"/>
      <c r="C3" s="66" t="s">
        <v>78</v>
      </c>
      <c r="D3" s="67"/>
      <c r="E3" s="67"/>
      <c r="F3" s="67"/>
      <c r="G3" s="167" t="s">
        <v>25</v>
      </c>
      <c r="H3" s="68"/>
      <c r="I3" s="68"/>
      <c r="J3" s="133"/>
    </row>
    <row r="4" spans="1:10" ht="15.75" x14ac:dyDescent="0.25">
      <c r="A4" s="337" t="s">
        <v>1</v>
      </c>
      <c r="B4" s="338"/>
      <c r="C4" s="66" t="s">
        <v>79</v>
      </c>
      <c r="D4" s="101"/>
      <c r="E4" s="101"/>
      <c r="F4" s="101"/>
      <c r="G4" s="101"/>
      <c r="H4" s="101"/>
      <c r="I4" s="101"/>
      <c r="J4" s="134"/>
    </row>
    <row r="5" spans="1:10" ht="15.75" x14ac:dyDescent="0.25">
      <c r="A5" s="337" t="s">
        <v>27</v>
      </c>
      <c r="B5" s="339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81"/>
      <c r="J5" s="135">
        <v>46066</v>
      </c>
    </row>
    <row r="6" spans="1:10" ht="16.5" thickBot="1" x14ac:dyDescent="0.3">
      <c r="A6" s="187"/>
      <c r="B6" s="13"/>
      <c r="C6" s="14"/>
      <c r="D6" s="14"/>
      <c r="E6" s="14"/>
      <c r="F6" s="14"/>
      <c r="G6" s="15"/>
      <c r="H6" s="16"/>
      <c r="I6" s="16"/>
      <c r="J6" s="115"/>
    </row>
    <row r="7" spans="1:10" ht="15.75" thickBot="1" x14ac:dyDescent="0.3">
      <c r="A7" s="120"/>
      <c r="B7" s="340" t="s">
        <v>30</v>
      </c>
      <c r="C7" s="341"/>
      <c r="D7" s="342"/>
      <c r="E7" s="1"/>
      <c r="F7" s="3"/>
      <c r="G7" s="343" t="s">
        <v>71</v>
      </c>
      <c r="H7" s="341"/>
      <c r="I7" s="341"/>
      <c r="J7" s="344"/>
    </row>
    <row r="8" spans="1:10" ht="16.5" thickBot="1" x14ac:dyDescent="0.3">
      <c r="A8" s="121"/>
      <c r="B8" s="330" t="s">
        <v>72</v>
      </c>
      <c r="C8" s="331"/>
      <c r="D8" s="97"/>
      <c r="E8" s="1"/>
      <c r="F8" s="3"/>
      <c r="G8" s="332" t="s">
        <v>73</v>
      </c>
      <c r="H8" s="333"/>
      <c r="I8" s="334"/>
      <c r="J8" s="197"/>
    </row>
    <row r="9" spans="1:10" ht="15.75" thickBot="1" x14ac:dyDescent="0.3">
      <c r="A9" s="121"/>
      <c r="B9" s="70"/>
      <c r="C9" s="70"/>
      <c r="D9" s="97"/>
      <c r="E9" s="1"/>
      <c r="F9" s="3"/>
      <c r="G9" s="69"/>
      <c r="H9" s="70"/>
      <c r="I9" s="70"/>
      <c r="J9" s="197"/>
    </row>
    <row r="10" spans="1:10" ht="16.5" thickBot="1" x14ac:dyDescent="0.3">
      <c r="A10" s="121"/>
      <c r="B10" s="311" t="s">
        <v>33</v>
      </c>
      <c r="C10" s="311"/>
      <c r="D10" s="312"/>
      <c r="E10" s="143"/>
      <c r="F10" s="143"/>
      <c r="G10" s="313" t="s">
        <v>34</v>
      </c>
      <c r="H10" s="314"/>
      <c r="I10" s="314"/>
      <c r="J10" s="315"/>
    </row>
    <row r="11" spans="1:10" ht="90.75" thickBot="1" x14ac:dyDescent="0.3">
      <c r="A11" s="121"/>
      <c r="B11" s="316" t="s">
        <v>35</v>
      </c>
      <c r="C11" s="17" t="s">
        <v>36</v>
      </c>
      <c r="D11" s="4" t="s">
        <v>37</v>
      </c>
      <c r="E11" s="5"/>
      <c r="F11" s="46" t="s">
        <v>38</v>
      </c>
      <c r="G11" s="291" t="s">
        <v>39</v>
      </c>
      <c r="H11" s="292"/>
      <c r="I11" s="292"/>
      <c r="J11" s="318"/>
    </row>
    <row r="12" spans="1:10" x14ac:dyDescent="0.25">
      <c r="A12" s="122"/>
      <c r="B12" s="317"/>
      <c r="C12" s="319" t="s">
        <v>40</v>
      </c>
      <c r="D12" s="321" t="s">
        <v>40</v>
      </c>
      <c r="E12" s="6"/>
      <c r="F12" s="323"/>
      <c r="G12" s="325" t="s">
        <v>41</v>
      </c>
      <c r="H12" s="326"/>
      <c r="I12" s="327"/>
      <c r="J12" s="328"/>
    </row>
    <row r="13" spans="1:10" x14ac:dyDescent="0.25">
      <c r="A13" s="122"/>
      <c r="B13" s="317"/>
      <c r="C13" s="320"/>
      <c r="D13" s="322"/>
      <c r="E13" s="6"/>
      <c r="F13" s="324"/>
      <c r="G13" s="42"/>
      <c r="H13" s="18"/>
      <c r="I13" s="25"/>
      <c r="J13" s="329"/>
    </row>
    <row r="14" spans="1:10" ht="16.5" thickBot="1" x14ac:dyDescent="0.3">
      <c r="A14" s="123"/>
      <c r="B14" s="317"/>
      <c r="C14" s="320"/>
      <c r="D14" s="322"/>
      <c r="E14" s="6"/>
      <c r="F14" s="324"/>
      <c r="G14" s="43"/>
      <c r="H14" s="19"/>
      <c r="I14" s="26"/>
      <c r="J14" s="329"/>
    </row>
    <row r="15" spans="1:10" ht="16.5" x14ac:dyDescent="0.3">
      <c r="A15" s="202">
        <v>1</v>
      </c>
      <c r="B15" s="178"/>
      <c r="C15" s="155"/>
      <c r="D15" s="152"/>
      <c r="E15" s="144"/>
      <c r="F15" s="159"/>
      <c r="G15" s="81"/>
      <c r="H15" s="166"/>
      <c r="I15" s="146"/>
      <c r="J15" s="162"/>
    </row>
    <row r="16" spans="1:10" ht="16.5" x14ac:dyDescent="0.3">
      <c r="A16" s="131">
        <v>2</v>
      </c>
      <c r="B16" s="179"/>
      <c r="C16" s="156"/>
      <c r="D16" s="148"/>
      <c r="E16" s="8"/>
      <c r="F16" s="149"/>
      <c r="G16" s="44"/>
      <c r="H16" s="7"/>
      <c r="I16" s="22"/>
      <c r="J16" s="124"/>
    </row>
    <row r="17" spans="1:10" ht="16.5" x14ac:dyDescent="0.3">
      <c r="A17" s="131">
        <v>3</v>
      </c>
      <c r="B17" s="179"/>
      <c r="C17" s="156"/>
      <c r="D17" s="47"/>
      <c r="E17" s="8"/>
      <c r="F17" s="20"/>
      <c r="G17" s="44"/>
      <c r="H17" s="7"/>
      <c r="I17" s="22"/>
      <c r="J17" s="124"/>
    </row>
    <row r="18" spans="1:10" ht="15.75" x14ac:dyDescent="0.25">
      <c r="A18" s="131">
        <v>4</v>
      </c>
      <c r="B18" s="180"/>
      <c r="C18" s="156"/>
      <c r="D18" s="47"/>
      <c r="E18" s="8"/>
      <c r="F18" s="20"/>
      <c r="G18" s="44"/>
      <c r="H18" s="7"/>
      <c r="I18" s="22"/>
      <c r="J18" s="124"/>
    </row>
    <row r="19" spans="1:10" ht="15.75" x14ac:dyDescent="0.25">
      <c r="A19" s="131">
        <v>5</v>
      </c>
      <c r="B19" s="180"/>
      <c r="C19" s="156"/>
      <c r="D19" s="47"/>
      <c r="E19" s="8"/>
      <c r="F19" s="20"/>
      <c r="G19" s="44"/>
      <c r="H19" s="7"/>
      <c r="I19" s="22"/>
      <c r="J19" s="124"/>
    </row>
    <row r="20" spans="1:10" ht="16.5" thickBot="1" x14ac:dyDescent="0.3">
      <c r="A20" s="205">
        <v>6</v>
      </c>
      <c r="B20" s="59"/>
      <c r="C20" s="157"/>
      <c r="D20" s="48"/>
      <c r="E20" s="8"/>
      <c r="F20" s="21"/>
      <c r="G20" s="45"/>
      <c r="H20" s="23"/>
      <c r="I20" s="24"/>
      <c r="J20" s="130"/>
    </row>
    <row r="21" spans="1:10" ht="15.75" thickBot="1" x14ac:dyDescent="0.3">
      <c r="A21" s="107"/>
      <c r="J21" s="108"/>
    </row>
    <row r="22" spans="1:10" x14ac:dyDescent="0.25">
      <c r="A22" s="126"/>
      <c r="B22" s="306" t="s">
        <v>42</v>
      </c>
      <c r="C22" s="278"/>
      <c r="D22" s="279"/>
      <c r="E22" s="279"/>
      <c r="F22" s="279"/>
      <c r="G22" s="279"/>
      <c r="H22" s="279"/>
      <c r="I22" s="279"/>
      <c r="J22" s="280"/>
    </row>
    <row r="23" spans="1:10" ht="15.75" thickBot="1" x14ac:dyDescent="0.3">
      <c r="A23" s="126"/>
      <c r="B23" s="307"/>
      <c r="C23" s="308"/>
      <c r="D23" s="309"/>
      <c r="E23" s="309"/>
      <c r="F23" s="309"/>
      <c r="G23" s="309"/>
      <c r="H23" s="309"/>
      <c r="I23" s="309"/>
      <c r="J23" s="310"/>
    </row>
    <row r="24" spans="1:10" ht="15.75" thickBot="1" x14ac:dyDescent="0.3">
      <c r="A24" s="98"/>
      <c r="B24" s="209" t="s">
        <v>43</v>
      </c>
      <c r="C24" s="210"/>
      <c r="D24" s="211"/>
      <c r="E24" s="212"/>
      <c r="F24" s="213" t="s">
        <v>45</v>
      </c>
      <c r="G24" s="214" t="s">
        <v>46</v>
      </c>
      <c r="H24" s="215" t="s">
        <v>47</v>
      </c>
      <c r="I24" s="216" t="s">
        <v>48</v>
      </c>
      <c r="J24" s="217"/>
    </row>
  </sheetData>
  <mergeCells count="18">
    <mergeCell ref="B8:C8"/>
    <mergeCell ref="G8:I8"/>
    <mergeCell ref="A3:B3"/>
    <mergeCell ref="A4:B4"/>
    <mergeCell ref="A5:B5"/>
    <mergeCell ref="B7:D7"/>
    <mergeCell ref="G7:J7"/>
    <mergeCell ref="B22:B23"/>
    <mergeCell ref="C22:J23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</mergeCells>
  <conditionalFormatting sqref="C15:C17">
    <cfRule type="containsText" dxfId="29" priority="3" operator="containsText" text="No">
      <formula>NOT(ISERROR(SEARCH("No",C15)))</formula>
    </cfRule>
  </conditionalFormatting>
  <conditionalFormatting sqref="C15:F20">
    <cfRule type="containsText" dxfId="28" priority="5" operator="containsText" text="No">
      <formula>NOT(ISERROR(SEARCH("No",C15)))</formula>
    </cfRule>
  </conditionalFormatting>
  <conditionalFormatting sqref="D16">
    <cfRule type="containsText" dxfId="27" priority="2" operator="containsText" text="No">
      <formula>NOT(ISERROR(SEARCH("No",D16)))</formula>
    </cfRule>
  </conditionalFormatting>
  <conditionalFormatting sqref="F16">
    <cfRule type="containsText" dxfId="26" priority="1" operator="containsText" text="No">
      <formula>NOT(ISERROR(SEARCH("No",F16)))</formula>
    </cfRule>
  </conditionalFormatting>
  <conditionalFormatting sqref="H15:I15 G16:I19 H20:I20">
    <cfRule type="cellIs" dxfId="25" priority="4" operator="greaterThan">
      <formula>#REF!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4320-6264-4E3E-BFB3-7470B9125BB5}">
  <dimension ref="A1:J24"/>
  <sheetViews>
    <sheetView zoomScale="50" zoomScaleNormal="50" workbookViewId="0">
      <selection activeCell="F3" sqref="F3"/>
    </sheetView>
  </sheetViews>
  <sheetFormatPr baseColWidth="10" defaultColWidth="8.85546875" defaultRowHeight="15" x14ac:dyDescent="0.25"/>
  <cols>
    <col min="2" max="2" width="36.42578125" customWidth="1"/>
    <col min="3" max="3" width="18.42578125" customWidth="1"/>
    <col min="6" max="6" width="11.5703125" customWidth="1"/>
    <col min="7" max="7" width="17.140625" customWidth="1"/>
    <col min="8" max="8" width="20" customWidth="1"/>
    <col min="9" max="9" width="17" customWidth="1"/>
  </cols>
  <sheetData>
    <row r="1" spans="1:10" ht="18.75" x14ac:dyDescent="0.25">
      <c r="A1" s="116"/>
      <c r="B1" s="117" t="s">
        <v>24</v>
      </c>
      <c r="C1" s="118">
        <f>'Resumen de procesos'!B1</f>
        <v>46062</v>
      </c>
      <c r="D1" s="117"/>
      <c r="E1" s="117"/>
      <c r="F1" s="117"/>
      <c r="G1" s="117"/>
      <c r="H1" s="117"/>
      <c r="I1" s="117"/>
      <c r="J1" s="119"/>
    </row>
    <row r="2" spans="1:10" x14ac:dyDescent="0.25">
      <c r="A2" s="107"/>
      <c r="J2" s="108"/>
    </row>
    <row r="3" spans="1:10" ht="15.75" x14ac:dyDescent="0.25">
      <c r="A3" s="335" t="s">
        <v>0</v>
      </c>
      <c r="B3" s="336"/>
      <c r="C3" s="66" t="s">
        <v>80</v>
      </c>
      <c r="D3" s="67"/>
      <c r="E3" s="67"/>
      <c r="F3" s="67" t="s">
        <v>25</v>
      </c>
      <c r="G3" s="167"/>
      <c r="H3" s="68"/>
      <c r="I3" s="68"/>
      <c r="J3" s="133"/>
    </row>
    <row r="4" spans="1:10" ht="15.75" x14ac:dyDescent="0.25">
      <c r="A4" s="337" t="s">
        <v>1</v>
      </c>
      <c r="B4" s="338"/>
      <c r="C4" s="66" t="s">
        <v>81</v>
      </c>
      <c r="D4" s="101"/>
      <c r="E4" s="101"/>
      <c r="F4" s="101"/>
      <c r="G4" s="101"/>
      <c r="H4" s="101"/>
      <c r="I4" s="101"/>
      <c r="J4" s="134"/>
    </row>
    <row r="5" spans="1:10" ht="15.75" x14ac:dyDescent="0.25">
      <c r="A5" s="337" t="s">
        <v>27</v>
      </c>
      <c r="B5" s="339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81">
        <v>46064</v>
      </c>
      <c r="J5" s="135"/>
    </row>
    <row r="6" spans="1:10" ht="15.75" x14ac:dyDescent="0.25">
      <c r="A6" s="187"/>
      <c r="B6" s="13"/>
      <c r="C6" s="14"/>
      <c r="D6" s="14"/>
      <c r="E6" s="14"/>
      <c r="F6" s="14"/>
      <c r="G6" s="15"/>
      <c r="H6" s="16"/>
      <c r="I6" s="16"/>
      <c r="J6" s="115"/>
    </row>
    <row r="7" spans="1:10" x14ac:dyDescent="0.25">
      <c r="A7" s="120"/>
      <c r="B7" s="340" t="s">
        <v>30</v>
      </c>
      <c r="C7" s="341"/>
      <c r="D7" s="342"/>
      <c r="E7" s="1"/>
      <c r="F7" s="3"/>
      <c r="G7" s="343" t="s">
        <v>71</v>
      </c>
      <c r="H7" s="341"/>
      <c r="I7" s="341"/>
      <c r="J7" s="344"/>
    </row>
    <row r="8" spans="1:10" ht="15.75" x14ac:dyDescent="0.25">
      <c r="A8" s="121"/>
      <c r="B8" s="330" t="s">
        <v>72</v>
      </c>
      <c r="C8" s="331"/>
      <c r="D8" s="97"/>
      <c r="E8" s="1"/>
      <c r="F8" s="3"/>
      <c r="G8" s="332" t="s">
        <v>73</v>
      </c>
      <c r="H8" s="333"/>
      <c r="I8" s="334"/>
      <c r="J8" s="197"/>
    </row>
    <row r="9" spans="1:10" x14ac:dyDescent="0.25">
      <c r="A9" s="121"/>
      <c r="B9" s="70"/>
      <c r="C9" s="70"/>
      <c r="D9" s="97"/>
      <c r="E9" s="1"/>
      <c r="F9" s="3"/>
      <c r="G9" s="69"/>
      <c r="H9" s="70"/>
      <c r="I9" s="70"/>
      <c r="J9" s="197"/>
    </row>
    <row r="10" spans="1:10" ht="15.75" x14ac:dyDescent="0.25">
      <c r="A10" s="121"/>
      <c r="B10" s="311" t="s">
        <v>33</v>
      </c>
      <c r="C10" s="311"/>
      <c r="D10" s="312"/>
      <c r="E10" s="143"/>
      <c r="F10" s="143"/>
      <c r="G10" s="313" t="s">
        <v>34</v>
      </c>
      <c r="H10" s="314"/>
      <c r="I10" s="314"/>
      <c r="J10" s="315"/>
    </row>
    <row r="11" spans="1:10" ht="90" x14ac:dyDescent="0.25">
      <c r="A11" s="121"/>
      <c r="B11" s="316" t="s">
        <v>35</v>
      </c>
      <c r="C11" s="17" t="s">
        <v>36</v>
      </c>
      <c r="D11" s="4" t="s">
        <v>37</v>
      </c>
      <c r="E11" s="5"/>
      <c r="F11" s="46" t="s">
        <v>38</v>
      </c>
      <c r="G11" s="291" t="s">
        <v>39</v>
      </c>
      <c r="H11" s="292"/>
      <c r="I11" s="292"/>
      <c r="J11" s="318"/>
    </row>
    <row r="12" spans="1:10" x14ac:dyDescent="0.25">
      <c r="A12" s="122"/>
      <c r="B12" s="317"/>
      <c r="C12" s="319" t="s">
        <v>40</v>
      </c>
      <c r="D12" s="321" t="s">
        <v>40</v>
      </c>
      <c r="E12" s="6"/>
      <c r="F12" s="323"/>
      <c r="G12" s="325" t="s">
        <v>41</v>
      </c>
      <c r="H12" s="326"/>
      <c r="I12" s="327"/>
      <c r="J12" s="328"/>
    </row>
    <row r="13" spans="1:10" x14ac:dyDescent="0.25">
      <c r="A13" s="122"/>
      <c r="B13" s="317"/>
      <c r="C13" s="320"/>
      <c r="D13" s="322"/>
      <c r="E13" s="6"/>
      <c r="F13" s="324"/>
      <c r="G13" s="42"/>
      <c r="H13" s="18"/>
      <c r="I13" s="25"/>
      <c r="J13" s="329"/>
    </row>
    <row r="14" spans="1:10" ht="15.75" x14ac:dyDescent="0.25">
      <c r="A14" s="123"/>
      <c r="B14" s="317"/>
      <c r="C14" s="320"/>
      <c r="D14" s="322"/>
      <c r="E14" s="6"/>
      <c r="F14" s="324"/>
      <c r="G14" s="43"/>
      <c r="H14" s="19"/>
      <c r="I14" s="26"/>
      <c r="J14" s="329"/>
    </row>
    <row r="15" spans="1:10" ht="16.5" x14ac:dyDescent="0.3">
      <c r="A15" s="202">
        <v>1</v>
      </c>
      <c r="B15" s="178"/>
      <c r="C15" s="155"/>
      <c r="D15" s="152"/>
      <c r="E15" s="144"/>
      <c r="F15" s="159"/>
      <c r="G15" s="81"/>
      <c r="H15" s="166"/>
      <c r="I15" s="146"/>
      <c r="J15" s="162"/>
    </row>
    <row r="16" spans="1:10" ht="16.5" x14ac:dyDescent="0.3">
      <c r="A16" s="131">
        <v>2</v>
      </c>
      <c r="B16" s="179"/>
      <c r="C16" s="156"/>
      <c r="D16" s="148"/>
      <c r="E16" s="8"/>
      <c r="F16" s="149"/>
      <c r="G16" s="44"/>
      <c r="H16" s="7"/>
      <c r="I16" s="22"/>
      <c r="J16" s="124"/>
    </row>
    <row r="17" spans="1:10" ht="16.5" x14ac:dyDescent="0.3">
      <c r="A17" s="131">
        <v>3</v>
      </c>
      <c r="B17" s="179"/>
      <c r="C17" s="156"/>
      <c r="D17" s="47"/>
      <c r="E17" s="8"/>
      <c r="F17" s="20"/>
      <c r="G17" s="44"/>
      <c r="H17" s="7"/>
      <c r="I17" s="22"/>
      <c r="J17" s="124"/>
    </row>
    <row r="18" spans="1:10" ht="15.75" x14ac:dyDescent="0.25">
      <c r="A18" s="131">
        <v>4</v>
      </c>
      <c r="B18" s="180"/>
      <c r="C18" s="156"/>
      <c r="D18" s="47"/>
      <c r="E18" s="8"/>
      <c r="F18" s="20"/>
      <c r="G18" s="44"/>
      <c r="H18" s="7"/>
      <c r="I18" s="22"/>
      <c r="J18" s="124"/>
    </row>
    <row r="19" spans="1:10" ht="15.75" x14ac:dyDescent="0.25">
      <c r="A19" s="131">
        <v>5</v>
      </c>
      <c r="B19" s="180"/>
      <c r="C19" s="156"/>
      <c r="D19" s="47"/>
      <c r="E19" s="8"/>
      <c r="F19" s="20"/>
      <c r="G19" s="44"/>
      <c r="H19" s="7"/>
      <c r="I19" s="22"/>
      <c r="J19" s="124"/>
    </row>
    <row r="20" spans="1:10" ht="15.75" x14ac:dyDescent="0.25">
      <c r="A20" s="205">
        <v>6</v>
      </c>
      <c r="B20" s="59"/>
      <c r="C20" s="157"/>
      <c r="D20" s="48"/>
      <c r="E20" s="8"/>
      <c r="F20" s="21"/>
      <c r="G20" s="45"/>
      <c r="H20" s="23"/>
      <c r="I20" s="24"/>
      <c r="J20" s="130"/>
    </row>
    <row r="21" spans="1:10" x14ac:dyDescent="0.25">
      <c r="A21" s="107"/>
      <c r="J21" s="108"/>
    </row>
    <row r="22" spans="1:10" x14ac:dyDescent="0.25">
      <c r="A22" s="126"/>
      <c r="B22" s="306" t="s">
        <v>42</v>
      </c>
      <c r="C22" s="278"/>
      <c r="D22" s="279"/>
      <c r="E22" s="279"/>
      <c r="F22" s="279"/>
      <c r="G22" s="279"/>
      <c r="H22" s="279"/>
      <c r="I22" s="279"/>
      <c r="J22" s="280"/>
    </row>
    <row r="23" spans="1:10" x14ac:dyDescent="0.25">
      <c r="A23" s="126"/>
      <c r="B23" s="307"/>
      <c r="C23" s="308"/>
      <c r="D23" s="309"/>
      <c r="E23" s="309"/>
      <c r="F23" s="309"/>
      <c r="G23" s="309"/>
      <c r="H23" s="309"/>
      <c r="I23" s="309"/>
      <c r="J23" s="310"/>
    </row>
    <row r="24" spans="1:10" x14ac:dyDescent="0.25">
      <c r="A24" s="98"/>
      <c r="B24" s="209" t="s">
        <v>43</v>
      </c>
      <c r="C24" s="210"/>
      <c r="D24" s="211"/>
      <c r="E24" s="212"/>
      <c r="F24" s="213" t="s">
        <v>45</v>
      </c>
      <c r="G24" s="214" t="s">
        <v>46</v>
      </c>
      <c r="H24" s="215" t="s">
        <v>47</v>
      </c>
      <c r="I24" s="216" t="s">
        <v>48</v>
      </c>
      <c r="J24" s="217"/>
    </row>
  </sheetData>
  <mergeCells count="18">
    <mergeCell ref="B22:B23"/>
    <mergeCell ref="C22:J23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  <mergeCell ref="B8:C8"/>
    <mergeCell ref="G8:I8"/>
    <mergeCell ref="A3:B3"/>
    <mergeCell ref="A4:B4"/>
    <mergeCell ref="A5:B5"/>
    <mergeCell ref="B7:D7"/>
    <mergeCell ref="G7:J7"/>
  </mergeCells>
  <conditionalFormatting sqref="C15:C17">
    <cfRule type="containsText" dxfId="24" priority="3" operator="containsText" text="No">
      <formula>NOT(ISERROR(SEARCH("No",C15)))</formula>
    </cfRule>
  </conditionalFormatting>
  <conditionalFormatting sqref="C15:F20">
    <cfRule type="containsText" dxfId="23" priority="5" operator="containsText" text="No">
      <formula>NOT(ISERROR(SEARCH("No",C15)))</formula>
    </cfRule>
  </conditionalFormatting>
  <conditionalFormatting sqref="D16">
    <cfRule type="containsText" dxfId="22" priority="2" operator="containsText" text="No">
      <formula>NOT(ISERROR(SEARCH("No",D16)))</formula>
    </cfRule>
  </conditionalFormatting>
  <conditionalFormatting sqref="F16">
    <cfRule type="containsText" dxfId="21" priority="1" operator="containsText" text="No">
      <formula>NOT(ISERROR(SEARCH("No",F16)))</formula>
    </cfRule>
  </conditionalFormatting>
  <conditionalFormatting sqref="H15:I15 G16:I19 H20:I20">
    <cfRule type="cellIs" dxfId="20" priority="4" operator="greaterThan">
      <formula>#REF!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18DB-06D4-41F8-8680-012A78A89CEB}">
  <dimension ref="A1:J24"/>
  <sheetViews>
    <sheetView zoomScale="70" zoomScaleNormal="70" workbookViewId="0"/>
  </sheetViews>
  <sheetFormatPr baseColWidth="10" defaultColWidth="8.85546875" defaultRowHeight="15" x14ac:dyDescent="0.25"/>
  <cols>
    <col min="2" max="2" width="30.5703125" customWidth="1"/>
    <col min="3" max="3" width="14.85546875" customWidth="1"/>
    <col min="6" max="6" width="12.42578125" customWidth="1"/>
    <col min="7" max="7" width="15.42578125" customWidth="1"/>
    <col min="8" max="8" width="13.85546875" customWidth="1"/>
    <col min="9" max="9" width="18.42578125" customWidth="1"/>
    <col min="10" max="10" width="15.5703125" customWidth="1"/>
  </cols>
  <sheetData>
    <row r="1" spans="1:10" ht="18.75" x14ac:dyDescent="0.25">
      <c r="A1" s="116"/>
      <c r="B1" s="117" t="s">
        <v>24</v>
      </c>
      <c r="C1" s="118">
        <f>'Resumen de procesos'!B1</f>
        <v>46062</v>
      </c>
      <c r="D1" s="117"/>
      <c r="E1" s="117"/>
      <c r="F1" s="117"/>
      <c r="G1" s="117"/>
      <c r="H1" s="117"/>
      <c r="I1" s="117"/>
      <c r="J1" s="119"/>
    </row>
    <row r="2" spans="1:10" x14ac:dyDescent="0.25">
      <c r="A2" s="107"/>
      <c r="J2" s="108"/>
    </row>
    <row r="3" spans="1:10" ht="15.75" x14ac:dyDescent="0.25">
      <c r="A3" s="335" t="s">
        <v>0</v>
      </c>
      <c r="B3" s="336"/>
      <c r="C3" s="66" t="s">
        <v>18</v>
      </c>
      <c r="D3" s="67"/>
      <c r="E3" s="67"/>
      <c r="F3" s="67" t="s">
        <v>25</v>
      </c>
      <c r="G3" s="167"/>
      <c r="H3" s="68"/>
      <c r="I3" s="68"/>
      <c r="J3" s="133"/>
    </row>
    <row r="4" spans="1:10" ht="15.75" x14ac:dyDescent="0.25">
      <c r="A4" s="337" t="s">
        <v>1</v>
      </c>
      <c r="B4" s="338"/>
      <c r="C4" s="66" t="s">
        <v>82</v>
      </c>
      <c r="D4" s="101"/>
      <c r="E4" s="101"/>
      <c r="F4" s="101"/>
      <c r="G4" s="101"/>
      <c r="H4" s="101"/>
      <c r="I4" s="101"/>
      <c r="J4" s="134"/>
    </row>
    <row r="5" spans="1:10" ht="15.75" x14ac:dyDescent="0.25">
      <c r="A5" s="337" t="s">
        <v>27</v>
      </c>
      <c r="B5" s="339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2"/>
      <c r="J5" s="208">
        <v>46064</v>
      </c>
    </row>
    <row r="6" spans="1:10" ht="15.75" x14ac:dyDescent="0.25">
      <c r="A6" s="187"/>
      <c r="B6" s="13"/>
      <c r="C6" s="14"/>
      <c r="D6" s="14"/>
      <c r="E6" s="14"/>
      <c r="F6" s="14"/>
      <c r="G6" s="15"/>
      <c r="H6" s="16"/>
      <c r="I6" s="16"/>
      <c r="J6" s="115"/>
    </row>
    <row r="7" spans="1:10" x14ac:dyDescent="0.25">
      <c r="A7" s="120"/>
      <c r="B7" s="340" t="s">
        <v>30</v>
      </c>
      <c r="C7" s="341"/>
      <c r="D7" s="342"/>
      <c r="E7" s="1"/>
      <c r="F7" s="3"/>
      <c r="G7" s="343" t="s">
        <v>71</v>
      </c>
      <c r="H7" s="341"/>
      <c r="I7" s="341"/>
      <c r="J7" s="344"/>
    </row>
    <row r="8" spans="1:10" ht="15.75" x14ac:dyDescent="0.25">
      <c r="A8" s="121"/>
      <c r="B8" s="330" t="s">
        <v>72</v>
      </c>
      <c r="C8" s="331"/>
      <c r="D8" s="97"/>
      <c r="E8" s="1"/>
      <c r="F8" s="3"/>
      <c r="G8" s="332" t="s">
        <v>73</v>
      </c>
      <c r="H8" s="333"/>
      <c r="I8" s="334"/>
      <c r="J8" s="197"/>
    </row>
    <row r="9" spans="1:10" x14ac:dyDescent="0.25">
      <c r="A9" s="121"/>
      <c r="B9" s="70"/>
      <c r="C9" s="70"/>
      <c r="D9" s="97"/>
      <c r="E9" s="1"/>
      <c r="F9" s="3"/>
      <c r="G9" s="69"/>
      <c r="H9" s="70"/>
      <c r="I9" s="70"/>
      <c r="J9" s="197"/>
    </row>
    <row r="10" spans="1:10" ht="15.75" x14ac:dyDescent="0.25">
      <c r="A10" s="121"/>
      <c r="B10" s="311" t="s">
        <v>33</v>
      </c>
      <c r="C10" s="311"/>
      <c r="D10" s="312"/>
      <c r="E10" s="143"/>
      <c r="F10" s="143"/>
      <c r="G10" s="313" t="s">
        <v>34</v>
      </c>
      <c r="H10" s="314"/>
      <c r="I10" s="314"/>
      <c r="J10" s="315"/>
    </row>
    <row r="11" spans="1:10" ht="90" x14ac:dyDescent="0.25">
      <c r="A11" s="121"/>
      <c r="B11" s="316" t="s">
        <v>35</v>
      </c>
      <c r="C11" s="17" t="s">
        <v>36</v>
      </c>
      <c r="D11" s="4" t="s">
        <v>37</v>
      </c>
      <c r="E11" s="5"/>
      <c r="F11" s="46" t="s">
        <v>38</v>
      </c>
      <c r="G11" s="291" t="s">
        <v>39</v>
      </c>
      <c r="H11" s="292"/>
      <c r="I11" s="292"/>
      <c r="J11" s="318"/>
    </row>
    <row r="12" spans="1:10" x14ac:dyDescent="0.25">
      <c r="A12" s="122"/>
      <c r="B12" s="317"/>
      <c r="C12" s="319" t="s">
        <v>40</v>
      </c>
      <c r="D12" s="321" t="s">
        <v>40</v>
      </c>
      <c r="E12" s="6"/>
      <c r="F12" s="323"/>
      <c r="G12" s="325" t="s">
        <v>41</v>
      </c>
      <c r="H12" s="326"/>
      <c r="I12" s="327"/>
      <c r="J12" s="328"/>
    </row>
    <row r="13" spans="1:10" x14ac:dyDescent="0.25">
      <c r="A13" s="122"/>
      <c r="B13" s="317"/>
      <c r="C13" s="320"/>
      <c r="D13" s="322"/>
      <c r="E13" s="6"/>
      <c r="F13" s="324"/>
      <c r="G13" s="42"/>
      <c r="H13" s="18"/>
      <c r="I13" s="25"/>
      <c r="J13" s="329"/>
    </row>
    <row r="14" spans="1:10" ht="15.75" x14ac:dyDescent="0.25">
      <c r="A14" s="123"/>
      <c r="B14" s="317"/>
      <c r="C14" s="320"/>
      <c r="D14" s="322"/>
      <c r="E14" s="6"/>
      <c r="F14" s="324"/>
      <c r="G14" s="43"/>
      <c r="H14" s="19"/>
      <c r="I14" s="26"/>
      <c r="J14" s="329"/>
    </row>
    <row r="15" spans="1:10" ht="16.5" x14ac:dyDescent="0.3">
      <c r="A15" s="202">
        <v>1</v>
      </c>
      <c r="B15" s="174"/>
      <c r="C15" s="171"/>
      <c r="D15" s="158"/>
      <c r="E15" s="144"/>
      <c r="F15" s="159"/>
      <c r="G15" s="81"/>
      <c r="H15" s="166"/>
      <c r="I15" s="146"/>
      <c r="J15" s="162"/>
    </row>
    <row r="16" spans="1:10" ht="16.5" x14ac:dyDescent="0.3">
      <c r="A16" s="131">
        <v>2</v>
      </c>
      <c r="B16" s="175"/>
      <c r="C16" s="171"/>
      <c r="D16" s="148"/>
      <c r="E16" s="8"/>
      <c r="F16" s="149"/>
      <c r="G16" s="44"/>
      <c r="H16" s="7"/>
      <c r="I16" s="22"/>
      <c r="J16" s="124"/>
    </row>
    <row r="17" spans="1:10" ht="16.5" x14ac:dyDescent="0.3">
      <c r="A17" s="131">
        <v>3</v>
      </c>
      <c r="B17" s="175"/>
      <c r="C17" s="171"/>
      <c r="D17" s="40"/>
      <c r="E17" s="8"/>
      <c r="F17" s="20"/>
      <c r="G17" s="44"/>
      <c r="H17" s="7"/>
      <c r="I17" s="22"/>
      <c r="J17" s="124"/>
    </row>
    <row r="18" spans="1:10" ht="15.75" x14ac:dyDescent="0.25">
      <c r="A18" s="131">
        <v>4</v>
      </c>
      <c r="B18" s="176"/>
      <c r="C18" s="172"/>
      <c r="D18" s="40"/>
      <c r="E18" s="8"/>
      <c r="F18" s="20"/>
      <c r="G18" s="44"/>
      <c r="H18" s="7"/>
      <c r="I18" s="22"/>
      <c r="J18" s="124"/>
    </row>
    <row r="19" spans="1:10" ht="15.75" x14ac:dyDescent="0.25">
      <c r="A19" s="131">
        <v>5</v>
      </c>
      <c r="B19" s="176"/>
      <c r="C19" s="172"/>
      <c r="D19" s="40"/>
      <c r="E19" s="8"/>
      <c r="F19" s="20"/>
      <c r="G19" s="44"/>
      <c r="H19" s="7"/>
      <c r="I19" s="22"/>
      <c r="J19" s="124"/>
    </row>
    <row r="20" spans="1:10" ht="15.75" x14ac:dyDescent="0.25">
      <c r="A20" s="205">
        <v>6</v>
      </c>
      <c r="B20" s="177"/>
      <c r="C20" s="173"/>
      <c r="D20" s="41"/>
      <c r="E20" s="8"/>
      <c r="F20" s="21"/>
      <c r="G20" s="45"/>
      <c r="H20" s="23"/>
      <c r="I20" s="24"/>
      <c r="J20" s="130"/>
    </row>
    <row r="21" spans="1:10" x14ac:dyDescent="0.25">
      <c r="A21" s="107"/>
      <c r="J21" s="108"/>
    </row>
    <row r="22" spans="1:10" x14ac:dyDescent="0.25">
      <c r="A22" s="126"/>
      <c r="B22" s="306" t="s">
        <v>42</v>
      </c>
      <c r="C22" s="278"/>
      <c r="D22" s="279"/>
      <c r="E22" s="279"/>
      <c r="F22" s="279"/>
      <c r="G22" s="279"/>
      <c r="H22" s="279"/>
      <c r="I22" s="279"/>
      <c r="J22" s="280"/>
    </row>
    <row r="23" spans="1:10" x14ac:dyDescent="0.25">
      <c r="A23" s="126"/>
      <c r="B23" s="307"/>
      <c r="C23" s="308"/>
      <c r="D23" s="309"/>
      <c r="E23" s="309"/>
      <c r="F23" s="309"/>
      <c r="G23" s="309"/>
      <c r="H23" s="309"/>
      <c r="I23" s="309"/>
      <c r="J23" s="310"/>
    </row>
    <row r="24" spans="1:10" x14ac:dyDescent="0.25">
      <c r="A24" s="98"/>
      <c r="B24" s="209" t="s">
        <v>43</v>
      </c>
      <c r="C24" s="210"/>
      <c r="D24" s="211"/>
      <c r="E24" s="212"/>
      <c r="F24" s="213" t="s">
        <v>45</v>
      </c>
      <c r="G24" s="214" t="s">
        <v>46</v>
      </c>
      <c r="H24" s="215" t="s">
        <v>47</v>
      </c>
      <c r="I24" s="216" t="s">
        <v>48</v>
      </c>
      <c r="J24" s="217"/>
    </row>
  </sheetData>
  <mergeCells count="18">
    <mergeCell ref="B22:B23"/>
    <mergeCell ref="C22:J23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  <mergeCell ref="B8:C8"/>
    <mergeCell ref="G8:I8"/>
    <mergeCell ref="A3:B3"/>
    <mergeCell ref="A4:B4"/>
    <mergeCell ref="A5:B5"/>
    <mergeCell ref="B7:D7"/>
    <mergeCell ref="G7:J7"/>
  </mergeCells>
  <conditionalFormatting sqref="C15:C17">
    <cfRule type="containsText" dxfId="19" priority="3" operator="containsText" text="No">
      <formula>NOT(ISERROR(SEARCH("No",C15)))</formula>
    </cfRule>
  </conditionalFormatting>
  <conditionalFormatting sqref="C15:F20">
    <cfRule type="containsText" dxfId="18" priority="5" operator="containsText" text="No">
      <formula>NOT(ISERROR(SEARCH("No",C15)))</formula>
    </cfRule>
  </conditionalFormatting>
  <conditionalFormatting sqref="D16">
    <cfRule type="containsText" dxfId="17" priority="2" operator="containsText" text="No">
      <formula>NOT(ISERROR(SEARCH("No",D16)))</formula>
    </cfRule>
  </conditionalFormatting>
  <conditionalFormatting sqref="F16">
    <cfRule type="containsText" dxfId="16" priority="1" operator="containsText" text="No">
      <formula>NOT(ISERROR(SEARCH("No",F16)))</formula>
    </cfRule>
  </conditionalFormatting>
  <conditionalFormatting sqref="H15:I15 G16:I19 H20:I20">
    <cfRule type="cellIs" dxfId="15" priority="4" operator="greaterThan">
      <formula>#REF!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3FBF-1B5F-4C19-89FC-D87AF1762D58}">
  <dimension ref="A1:J25"/>
  <sheetViews>
    <sheetView zoomScale="60" zoomScaleNormal="60" workbookViewId="0">
      <selection activeCell="S15" sqref="S15"/>
    </sheetView>
  </sheetViews>
  <sheetFormatPr baseColWidth="10" defaultColWidth="8.85546875" defaultRowHeight="15" x14ac:dyDescent="0.25"/>
  <cols>
    <col min="2" max="2" width="30.42578125" customWidth="1"/>
    <col min="3" max="3" width="14" customWidth="1"/>
    <col min="6" max="6" width="13.42578125" customWidth="1"/>
    <col min="7" max="7" width="15.140625" customWidth="1"/>
    <col min="8" max="8" width="12.5703125" customWidth="1"/>
    <col min="9" max="9" width="16.85546875" customWidth="1"/>
    <col min="10" max="10" width="16.5703125" customWidth="1"/>
  </cols>
  <sheetData>
    <row r="1" spans="1:10" ht="18.75" x14ac:dyDescent="0.25">
      <c r="A1" s="116"/>
      <c r="B1" s="117" t="s">
        <v>24</v>
      </c>
      <c r="C1" s="118">
        <f>'Resumen de procesos'!B1</f>
        <v>46062</v>
      </c>
      <c r="D1" s="117"/>
      <c r="E1" s="117"/>
      <c r="F1" s="117"/>
      <c r="G1" s="117"/>
      <c r="H1" s="117"/>
      <c r="I1" s="117"/>
      <c r="J1" s="119"/>
    </row>
    <row r="2" spans="1:10" x14ac:dyDescent="0.25">
      <c r="A2" s="107"/>
      <c r="J2" s="108"/>
    </row>
    <row r="3" spans="1:10" ht="15.75" x14ac:dyDescent="0.25">
      <c r="A3" s="335" t="s">
        <v>0</v>
      </c>
      <c r="B3" s="336"/>
      <c r="C3" s="66" t="s">
        <v>17</v>
      </c>
      <c r="D3" s="67"/>
      <c r="E3" s="67"/>
      <c r="F3" s="67" t="s">
        <v>25</v>
      </c>
      <c r="G3" s="167"/>
      <c r="H3" s="68"/>
      <c r="I3" s="68"/>
      <c r="J3" s="133"/>
    </row>
    <row r="4" spans="1:10" ht="15.75" x14ac:dyDescent="0.25">
      <c r="A4" s="337" t="s">
        <v>1</v>
      </c>
      <c r="B4" s="338"/>
      <c r="C4" s="66" t="s">
        <v>83</v>
      </c>
      <c r="D4" s="101"/>
      <c r="E4" s="101"/>
      <c r="F4" s="101"/>
      <c r="G4" s="101"/>
      <c r="H4" s="101"/>
      <c r="I4" s="101"/>
      <c r="J4" s="134"/>
    </row>
    <row r="5" spans="1:10" ht="15.75" x14ac:dyDescent="0.25">
      <c r="A5" s="337" t="s">
        <v>27</v>
      </c>
      <c r="B5" s="339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2"/>
      <c r="J5" s="135">
        <v>46063</v>
      </c>
    </row>
    <row r="6" spans="1:10" ht="16.5" thickBot="1" x14ac:dyDescent="0.3">
      <c r="A6" s="187"/>
      <c r="B6" s="13"/>
      <c r="C6" s="14"/>
      <c r="D6" s="14"/>
      <c r="E6" s="14"/>
      <c r="F6" s="14"/>
      <c r="G6" s="15"/>
      <c r="H6" s="16"/>
      <c r="I6" s="16"/>
      <c r="J6" s="115"/>
    </row>
    <row r="7" spans="1:10" ht="15.75" thickBot="1" x14ac:dyDescent="0.3">
      <c r="A7" s="120"/>
      <c r="B7" s="340" t="s">
        <v>30</v>
      </c>
      <c r="C7" s="341"/>
      <c r="D7" s="342"/>
      <c r="E7" s="1"/>
      <c r="F7" s="3"/>
      <c r="G7" s="343" t="s">
        <v>71</v>
      </c>
      <c r="H7" s="341"/>
      <c r="I7" s="341"/>
      <c r="J7" s="344"/>
    </row>
    <row r="8" spans="1:10" ht="16.5" thickBot="1" x14ac:dyDescent="0.3">
      <c r="A8" s="121"/>
      <c r="B8" s="330" t="s">
        <v>72</v>
      </c>
      <c r="C8" s="331"/>
      <c r="D8" s="97"/>
      <c r="E8" s="1"/>
      <c r="F8" s="3"/>
      <c r="G8" s="332" t="s">
        <v>73</v>
      </c>
      <c r="H8" s="333"/>
      <c r="I8" s="334"/>
      <c r="J8" s="197"/>
    </row>
    <row r="9" spans="1:10" ht="15.75" thickBot="1" x14ac:dyDescent="0.3">
      <c r="A9" s="121"/>
      <c r="B9" s="70"/>
      <c r="C9" s="70"/>
      <c r="D9" s="97"/>
      <c r="E9" s="1"/>
      <c r="F9" s="3"/>
      <c r="G9" s="69"/>
      <c r="H9" s="70"/>
      <c r="I9" s="70"/>
      <c r="J9" s="197"/>
    </row>
    <row r="10" spans="1:10" ht="16.5" thickBot="1" x14ac:dyDescent="0.3">
      <c r="A10" s="121"/>
      <c r="B10" s="311" t="s">
        <v>33</v>
      </c>
      <c r="C10" s="311"/>
      <c r="D10" s="312"/>
      <c r="E10" s="143"/>
      <c r="F10" s="143"/>
      <c r="G10" s="313" t="s">
        <v>34</v>
      </c>
      <c r="H10" s="314"/>
      <c r="I10" s="314"/>
      <c r="J10" s="315"/>
    </row>
    <row r="11" spans="1:10" ht="90.75" thickBot="1" x14ac:dyDescent="0.3">
      <c r="A11" s="121"/>
      <c r="B11" s="316" t="s">
        <v>35</v>
      </c>
      <c r="C11" s="17" t="s">
        <v>36</v>
      </c>
      <c r="D11" s="4" t="s">
        <v>37</v>
      </c>
      <c r="E11" s="5"/>
      <c r="F11" s="46" t="s">
        <v>38</v>
      </c>
      <c r="G11" s="291" t="s">
        <v>39</v>
      </c>
      <c r="H11" s="292"/>
      <c r="I11" s="292"/>
      <c r="J11" s="318"/>
    </row>
    <row r="12" spans="1:10" x14ac:dyDescent="0.25">
      <c r="A12" s="122"/>
      <c r="B12" s="317"/>
      <c r="C12" s="319" t="s">
        <v>40</v>
      </c>
      <c r="D12" s="321" t="s">
        <v>40</v>
      </c>
      <c r="E12" s="6"/>
      <c r="F12" s="323"/>
      <c r="G12" s="325" t="s">
        <v>41</v>
      </c>
      <c r="H12" s="326"/>
      <c r="I12" s="327"/>
      <c r="J12" s="328"/>
    </row>
    <row r="13" spans="1:10" x14ac:dyDescent="0.25">
      <c r="A13" s="122"/>
      <c r="B13" s="317"/>
      <c r="C13" s="320"/>
      <c r="D13" s="322"/>
      <c r="E13" s="6"/>
      <c r="F13" s="324"/>
      <c r="G13" s="42"/>
      <c r="H13" s="18"/>
      <c r="I13" s="25"/>
      <c r="J13" s="329"/>
    </row>
    <row r="14" spans="1:10" ht="16.5" thickBot="1" x14ac:dyDescent="0.3">
      <c r="A14" s="123"/>
      <c r="B14" s="317"/>
      <c r="C14" s="320"/>
      <c r="D14" s="322"/>
      <c r="E14" s="6"/>
      <c r="F14" s="324"/>
      <c r="G14" s="43"/>
      <c r="H14" s="19"/>
      <c r="I14" s="26"/>
      <c r="J14" s="329"/>
    </row>
    <row r="15" spans="1:10" ht="17.25" thickBot="1" x14ac:dyDescent="0.35">
      <c r="A15" s="202">
        <v>1</v>
      </c>
      <c r="B15" s="174"/>
      <c r="C15" s="171"/>
      <c r="D15" s="158"/>
      <c r="E15" s="144"/>
      <c r="F15" s="159"/>
      <c r="G15" s="81"/>
      <c r="H15" s="166"/>
      <c r="I15" s="146"/>
      <c r="J15" s="162"/>
    </row>
    <row r="16" spans="1:10" ht="17.25" thickBot="1" x14ac:dyDescent="0.35">
      <c r="A16" s="131">
        <v>2</v>
      </c>
      <c r="B16" s="175"/>
      <c r="C16" s="171"/>
      <c r="D16" s="148"/>
      <c r="E16" s="8"/>
      <c r="F16" s="149"/>
      <c r="G16" s="44"/>
      <c r="H16" s="7"/>
      <c r="I16" s="22"/>
      <c r="J16" s="124"/>
    </row>
    <row r="17" spans="1:10" ht="16.5" x14ac:dyDescent="0.3">
      <c r="A17" s="131">
        <v>3</v>
      </c>
      <c r="B17" s="175"/>
      <c r="C17" s="171"/>
      <c r="D17" s="40"/>
      <c r="E17" s="8"/>
      <c r="F17" s="20"/>
      <c r="G17" s="44"/>
      <c r="H17" s="7"/>
      <c r="I17" s="22"/>
      <c r="J17" s="124"/>
    </row>
    <row r="18" spans="1:10" ht="15.75" x14ac:dyDescent="0.25">
      <c r="A18" s="131">
        <v>4</v>
      </c>
      <c r="B18" s="176"/>
      <c r="C18" s="172"/>
      <c r="D18" s="40"/>
      <c r="E18" s="8"/>
      <c r="F18" s="20"/>
      <c r="G18" s="44"/>
      <c r="H18" s="7"/>
      <c r="I18" s="22"/>
      <c r="J18" s="124"/>
    </row>
    <row r="19" spans="1:10" ht="15.75" x14ac:dyDescent="0.25">
      <c r="A19" s="131">
        <v>5</v>
      </c>
      <c r="B19" s="176"/>
      <c r="C19" s="172"/>
      <c r="D19" s="40"/>
      <c r="E19" s="8"/>
      <c r="F19" s="20"/>
      <c r="G19" s="44"/>
      <c r="H19" s="7"/>
      <c r="I19" s="22"/>
      <c r="J19" s="124"/>
    </row>
    <row r="20" spans="1:10" ht="16.5" thickBot="1" x14ac:dyDescent="0.3">
      <c r="A20" s="205">
        <v>6</v>
      </c>
      <c r="B20" s="177"/>
      <c r="C20" s="173"/>
      <c r="D20" s="41"/>
      <c r="E20" s="8"/>
      <c r="F20" s="21"/>
      <c r="G20" s="45"/>
      <c r="H20" s="23"/>
      <c r="I20" s="24"/>
      <c r="J20" s="130"/>
    </row>
    <row r="21" spans="1:10" ht="15.75" thickBot="1" x14ac:dyDescent="0.3">
      <c r="A21" s="107"/>
      <c r="J21" s="108"/>
    </row>
    <row r="22" spans="1:10" x14ac:dyDescent="0.25">
      <c r="A22" s="126"/>
      <c r="B22" s="306" t="s">
        <v>42</v>
      </c>
      <c r="C22" s="278"/>
      <c r="D22" s="279"/>
      <c r="E22" s="279"/>
      <c r="F22" s="279"/>
      <c r="G22" s="279"/>
      <c r="H22" s="279"/>
      <c r="I22" s="279"/>
      <c r="J22" s="280"/>
    </row>
    <row r="23" spans="1:10" ht="15.75" thickBot="1" x14ac:dyDescent="0.3">
      <c r="A23" s="126"/>
      <c r="B23" s="307"/>
      <c r="C23" s="308"/>
      <c r="D23" s="309"/>
      <c r="E23" s="309"/>
      <c r="F23" s="309"/>
      <c r="G23" s="309"/>
      <c r="H23" s="309"/>
      <c r="I23" s="309"/>
      <c r="J23" s="310"/>
    </row>
    <row r="24" spans="1:10" ht="15.75" thickBot="1" x14ac:dyDescent="0.3">
      <c r="A24" s="206"/>
      <c r="B24" s="83" t="s">
        <v>43</v>
      </c>
      <c r="C24" s="84"/>
      <c r="D24" s="85"/>
      <c r="E24" s="86"/>
      <c r="F24" s="87" t="s">
        <v>45</v>
      </c>
      <c r="G24" s="88" t="s">
        <v>46</v>
      </c>
      <c r="H24" s="89" t="s">
        <v>47</v>
      </c>
      <c r="I24" s="90" t="s">
        <v>48</v>
      </c>
      <c r="J24" s="207"/>
    </row>
    <row r="25" spans="1:10" ht="15.75" thickBot="1" x14ac:dyDescent="0.3">
      <c r="A25" s="98"/>
      <c r="B25" s="99"/>
      <c r="C25" s="99"/>
      <c r="D25" s="99"/>
      <c r="E25" s="99"/>
      <c r="F25" s="99"/>
      <c r="G25" s="99"/>
      <c r="H25" s="99"/>
      <c r="I25" s="99"/>
      <c r="J25" s="100"/>
    </row>
  </sheetData>
  <mergeCells count="18">
    <mergeCell ref="B22:B23"/>
    <mergeCell ref="C22:J23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  <mergeCell ref="B8:C8"/>
    <mergeCell ref="G8:I8"/>
    <mergeCell ref="A3:B3"/>
    <mergeCell ref="A4:B4"/>
    <mergeCell ref="A5:B5"/>
    <mergeCell ref="B7:D7"/>
    <mergeCell ref="G7:J7"/>
  </mergeCells>
  <conditionalFormatting sqref="C15:C17">
    <cfRule type="containsText" dxfId="14" priority="3" operator="containsText" text="No">
      <formula>NOT(ISERROR(SEARCH("No",C15)))</formula>
    </cfRule>
  </conditionalFormatting>
  <conditionalFormatting sqref="C15:F20">
    <cfRule type="containsText" dxfId="13" priority="5" operator="containsText" text="No">
      <formula>NOT(ISERROR(SEARCH("No",C15)))</formula>
    </cfRule>
  </conditionalFormatting>
  <conditionalFormatting sqref="D16">
    <cfRule type="containsText" dxfId="12" priority="2" operator="containsText" text="No">
      <formula>NOT(ISERROR(SEARCH("No",D16)))</formula>
    </cfRule>
  </conditionalFormatting>
  <conditionalFormatting sqref="F16">
    <cfRule type="containsText" dxfId="11" priority="1" operator="containsText" text="No">
      <formula>NOT(ISERROR(SEARCH("No",F16)))</formula>
    </cfRule>
  </conditionalFormatting>
  <conditionalFormatting sqref="H15:I15 G16:I19 H20:I20">
    <cfRule type="cellIs" dxfId="10" priority="4" operator="greaterThan">
      <formula>#REF!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2ACF-B04A-4B79-91D5-E5AC9EC9CDBD}">
  <dimension ref="A1:J24"/>
  <sheetViews>
    <sheetView zoomScale="70" zoomScaleNormal="70" workbookViewId="0">
      <selection activeCell="N16" sqref="N15:N16"/>
    </sheetView>
  </sheetViews>
  <sheetFormatPr baseColWidth="10" defaultColWidth="8.85546875" defaultRowHeight="15" x14ac:dyDescent="0.25"/>
  <cols>
    <col min="2" max="2" width="23.85546875" customWidth="1"/>
    <col min="3" max="3" width="19" customWidth="1"/>
    <col min="4" max="4" width="20.42578125" customWidth="1"/>
    <col min="6" max="6" width="11.42578125" customWidth="1"/>
    <col min="7" max="7" width="15.5703125" customWidth="1"/>
    <col min="8" max="8" width="12.140625" customWidth="1"/>
    <col min="9" max="9" width="17.140625" customWidth="1"/>
    <col min="10" max="10" width="16.140625" customWidth="1"/>
  </cols>
  <sheetData>
    <row r="1" spans="1:10" ht="18.75" x14ac:dyDescent="0.25">
      <c r="A1" s="92"/>
      <c r="B1" s="93" t="s">
        <v>24</v>
      </c>
      <c r="C1" s="94">
        <f>'Resumen de procesos'!B1</f>
        <v>46062</v>
      </c>
      <c r="D1" s="93"/>
      <c r="E1" s="93"/>
      <c r="F1" s="93"/>
      <c r="G1" s="93"/>
      <c r="H1" s="93"/>
      <c r="I1" s="93"/>
      <c r="J1" s="95"/>
    </row>
    <row r="2" spans="1:10" x14ac:dyDescent="0.25">
      <c r="A2" s="79"/>
      <c r="J2" s="80"/>
    </row>
    <row r="3" spans="1:10" ht="15.75" x14ac:dyDescent="0.25">
      <c r="A3" s="345" t="s">
        <v>0</v>
      </c>
      <c r="B3" s="336"/>
      <c r="C3" s="66" t="s">
        <v>16</v>
      </c>
      <c r="D3" s="67"/>
      <c r="E3" s="67"/>
      <c r="F3" s="67" t="s">
        <v>84</v>
      </c>
      <c r="G3" s="167"/>
      <c r="H3" s="68"/>
      <c r="I3" s="68"/>
      <c r="J3" s="96"/>
    </row>
    <row r="4" spans="1:10" ht="27" customHeight="1" x14ac:dyDescent="0.25">
      <c r="A4" s="346" t="s">
        <v>1</v>
      </c>
      <c r="B4" s="338"/>
      <c r="C4" s="349" t="s">
        <v>85</v>
      </c>
      <c r="D4" s="350"/>
      <c r="E4" s="350"/>
      <c r="F4" s="350"/>
      <c r="G4" s="350"/>
      <c r="H4" s="350"/>
      <c r="I4" s="350"/>
      <c r="J4" s="350"/>
    </row>
    <row r="5" spans="1:10" ht="15.75" x14ac:dyDescent="0.25">
      <c r="A5" s="346" t="s">
        <v>27</v>
      </c>
      <c r="B5" s="339"/>
      <c r="C5" s="9" t="s">
        <v>28</v>
      </c>
      <c r="D5" s="10"/>
      <c r="E5" s="10"/>
      <c r="F5" s="10"/>
      <c r="G5" s="11" t="s">
        <v>29</v>
      </c>
      <c r="H5" s="12" t="str">
        <f>B10</f>
        <v>APERTURA 1 - SUSTANCIAL / FORMAL</v>
      </c>
      <c r="I5" s="12"/>
      <c r="J5" s="77">
        <v>46063</v>
      </c>
    </row>
    <row r="6" spans="1:10" ht="15.75" x14ac:dyDescent="0.25">
      <c r="A6" s="76"/>
      <c r="B6" s="13"/>
      <c r="C6" s="14"/>
      <c r="D6" s="14"/>
      <c r="E6" s="14"/>
      <c r="F6" s="14"/>
      <c r="G6" s="15"/>
      <c r="H6" s="16"/>
      <c r="I6" s="16"/>
      <c r="J6" s="78"/>
    </row>
    <row r="7" spans="1:10" x14ac:dyDescent="0.25">
      <c r="A7" s="72"/>
      <c r="B7" s="340" t="s">
        <v>30</v>
      </c>
      <c r="C7" s="341"/>
      <c r="D7" s="342"/>
      <c r="E7" s="1"/>
      <c r="F7" s="3"/>
      <c r="G7" s="343" t="s">
        <v>71</v>
      </c>
      <c r="H7" s="341"/>
      <c r="I7" s="341"/>
      <c r="J7" s="342"/>
    </row>
    <row r="8" spans="1:10" ht="15.75" x14ac:dyDescent="0.25">
      <c r="A8" s="73"/>
      <c r="B8" s="330" t="s">
        <v>72</v>
      </c>
      <c r="C8" s="331"/>
      <c r="D8" s="97">
        <v>6941520000</v>
      </c>
      <c r="E8" s="1"/>
      <c r="F8" s="3"/>
      <c r="G8" s="332" t="s">
        <v>73</v>
      </c>
      <c r="H8" s="333"/>
      <c r="I8" s="334"/>
      <c r="J8" s="97">
        <f>D8*1.3</f>
        <v>9023976000</v>
      </c>
    </row>
    <row r="9" spans="1:10" x14ac:dyDescent="0.25">
      <c r="A9" s="73"/>
      <c r="B9" s="70"/>
      <c r="C9" s="70"/>
      <c r="D9" s="97"/>
      <c r="E9" s="1"/>
      <c r="F9" s="3"/>
      <c r="G9" s="69"/>
      <c r="H9" s="70"/>
      <c r="I9" s="70"/>
      <c r="J9" s="97"/>
    </row>
    <row r="10" spans="1:10" ht="15.75" x14ac:dyDescent="0.25">
      <c r="A10" s="73"/>
      <c r="B10" s="311" t="s">
        <v>33</v>
      </c>
      <c r="C10" s="311"/>
      <c r="D10" s="312"/>
      <c r="E10" s="143"/>
      <c r="F10" s="143"/>
      <c r="G10" s="313" t="s">
        <v>34</v>
      </c>
      <c r="H10" s="314"/>
      <c r="I10" s="314"/>
      <c r="J10" s="351"/>
    </row>
    <row r="11" spans="1:10" ht="45" x14ac:dyDescent="0.25">
      <c r="A11" s="73"/>
      <c r="B11" s="316" t="s">
        <v>35</v>
      </c>
      <c r="C11" s="17" t="s">
        <v>36</v>
      </c>
      <c r="D11" s="4" t="s">
        <v>37</v>
      </c>
      <c r="E11" s="5"/>
      <c r="F11" s="46" t="s">
        <v>38</v>
      </c>
      <c r="G11" s="291" t="s">
        <v>39</v>
      </c>
      <c r="H11" s="292"/>
      <c r="I11" s="292"/>
      <c r="J11" s="352"/>
    </row>
    <row r="12" spans="1:10" x14ac:dyDescent="0.25">
      <c r="A12" s="74"/>
      <c r="B12" s="317"/>
      <c r="C12" s="319" t="s">
        <v>40</v>
      </c>
      <c r="D12" s="321" t="s">
        <v>40</v>
      </c>
      <c r="E12" s="6"/>
      <c r="F12" s="323"/>
      <c r="G12" s="325" t="s">
        <v>41</v>
      </c>
      <c r="H12" s="326"/>
      <c r="I12" s="327"/>
      <c r="J12" s="328"/>
    </row>
    <row r="13" spans="1:10" x14ac:dyDescent="0.25">
      <c r="A13" s="74"/>
      <c r="B13" s="317"/>
      <c r="C13" s="320"/>
      <c r="D13" s="322"/>
      <c r="E13" s="6"/>
      <c r="F13" s="324"/>
      <c r="G13" s="42"/>
      <c r="H13" s="18"/>
      <c r="I13" s="25"/>
      <c r="J13" s="329"/>
    </row>
    <row r="14" spans="1:10" ht="15.75" x14ac:dyDescent="0.25">
      <c r="A14" s="75"/>
      <c r="B14" s="317"/>
      <c r="C14" s="320"/>
      <c r="D14" s="322"/>
      <c r="E14" s="6"/>
      <c r="F14" s="324"/>
      <c r="G14" s="43"/>
      <c r="H14" s="19"/>
      <c r="I14" s="26"/>
      <c r="J14" s="329"/>
    </row>
    <row r="15" spans="1:10" ht="15.75" x14ac:dyDescent="0.25">
      <c r="A15" s="50">
        <v>1</v>
      </c>
      <c r="B15" s="161"/>
      <c r="C15" s="154"/>
      <c r="D15" s="158"/>
      <c r="E15" s="144"/>
      <c r="F15" s="159"/>
      <c r="G15" s="81"/>
      <c r="H15" s="166"/>
      <c r="I15" s="146"/>
      <c r="J15" s="162"/>
    </row>
    <row r="16" spans="1:10" ht="15.75" x14ac:dyDescent="0.25">
      <c r="A16" s="51">
        <v>2</v>
      </c>
      <c r="B16" s="53"/>
      <c r="C16" s="147"/>
      <c r="D16" s="148"/>
      <c r="E16" s="8"/>
      <c r="F16" s="149"/>
      <c r="G16" s="44"/>
      <c r="H16" s="7"/>
      <c r="I16" s="22"/>
      <c r="J16" s="124"/>
    </row>
    <row r="17" spans="1:10" ht="15.75" x14ac:dyDescent="0.25">
      <c r="A17" s="51">
        <v>3</v>
      </c>
      <c r="B17" s="53"/>
      <c r="C17" s="150"/>
      <c r="D17" s="40"/>
      <c r="E17" s="8"/>
      <c r="F17" s="20"/>
      <c r="G17" s="44"/>
      <c r="H17" s="7"/>
      <c r="I17" s="22"/>
      <c r="J17" s="124"/>
    </row>
    <row r="18" spans="1:10" ht="15.75" x14ac:dyDescent="0.25">
      <c r="A18" s="51">
        <v>4</v>
      </c>
      <c r="B18" s="53"/>
      <c r="C18" s="150"/>
      <c r="D18" s="40"/>
      <c r="E18" s="8"/>
      <c r="F18" s="20"/>
      <c r="G18" s="44"/>
      <c r="H18" s="7"/>
      <c r="I18" s="22"/>
      <c r="J18" s="124"/>
    </row>
    <row r="19" spans="1:10" ht="15.75" x14ac:dyDescent="0.25">
      <c r="A19" s="51">
        <v>5</v>
      </c>
      <c r="B19" s="53"/>
      <c r="C19" s="150"/>
      <c r="D19" s="40"/>
      <c r="E19" s="8"/>
      <c r="F19" s="20"/>
      <c r="G19" s="44"/>
      <c r="H19" s="7"/>
      <c r="I19" s="22"/>
      <c r="J19" s="124"/>
    </row>
    <row r="20" spans="1:10" ht="15.75" x14ac:dyDescent="0.25">
      <c r="A20" s="52">
        <v>6</v>
      </c>
      <c r="B20" s="54"/>
      <c r="C20" s="151"/>
      <c r="D20" s="41"/>
      <c r="E20" s="8"/>
      <c r="F20" s="21"/>
      <c r="G20" s="45"/>
      <c r="H20" s="23"/>
      <c r="I20" s="24"/>
      <c r="J20" s="130"/>
    </row>
    <row r="21" spans="1:10" x14ac:dyDescent="0.25">
      <c r="A21" s="79"/>
      <c r="J21" s="80"/>
    </row>
    <row r="22" spans="1:10" x14ac:dyDescent="0.25">
      <c r="A22" s="82"/>
      <c r="B22" s="306" t="s">
        <v>42</v>
      </c>
      <c r="C22" s="278"/>
      <c r="D22" s="279"/>
      <c r="E22" s="279"/>
      <c r="F22" s="279"/>
      <c r="G22" s="279"/>
      <c r="H22" s="279"/>
      <c r="I22" s="279"/>
      <c r="J22" s="347"/>
    </row>
    <row r="23" spans="1:10" x14ac:dyDescent="0.25">
      <c r="A23" s="82"/>
      <c r="B23" s="307"/>
      <c r="C23" s="308"/>
      <c r="D23" s="309"/>
      <c r="E23" s="309"/>
      <c r="F23" s="309"/>
      <c r="G23" s="309"/>
      <c r="H23" s="309"/>
      <c r="I23" s="309"/>
      <c r="J23" s="348"/>
    </row>
    <row r="24" spans="1:10" x14ac:dyDescent="0.25">
      <c r="A24" s="69"/>
      <c r="B24" s="83" t="s">
        <v>43</v>
      </c>
      <c r="C24" s="84"/>
      <c r="D24" s="85"/>
      <c r="E24" s="86"/>
      <c r="F24" s="87" t="s">
        <v>45</v>
      </c>
      <c r="G24" s="88" t="s">
        <v>46</v>
      </c>
      <c r="H24" s="89" t="s">
        <v>47</v>
      </c>
      <c r="I24" s="90" t="s">
        <v>48</v>
      </c>
      <c r="J24" s="91"/>
    </row>
  </sheetData>
  <mergeCells count="19">
    <mergeCell ref="B22:B23"/>
    <mergeCell ref="C22:J23"/>
    <mergeCell ref="C4:J4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  <mergeCell ref="B8:C8"/>
    <mergeCell ref="G8:I8"/>
    <mergeCell ref="A3:B3"/>
    <mergeCell ref="A4:B4"/>
    <mergeCell ref="A5:B5"/>
    <mergeCell ref="B7:D7"/>
    <mergeCell ref="G7:J7"/>
  </mergeCells>
  <conditionalFormatting sqref="C15:C16">
    <cfRule type="containsText" dxfId="9" priority="3" operator="containsText" text="No">
      <formula>NOT(ISERROR(SEARCH("No",C15)))</formula>
    </cfRule>
  </conditionalFormatting>
  <conditionalFormatting sqref="C15:F20">
    <cfRule type="containsText" dxfId="8" priority="5" operator="containsText" text="No">
      <formula>NOT(ISERROR(SEARCH("No",C15)))</formula>
    </cfRule>
  </conditionalFormatting>
  <conditionalFormatting sqref="D16">
    <cfRule type="containsText" dxfId="7" priority="2" operator="containsText" text="No">
      <formula>NOT(ISERROR(SEARCH("No",D16)))</formula>
    </cfRule>
  </conditionalFormatting>
  <conditionalFormatting sqref="F16">
    <cfRule type="containsText" dxfId="6" priority="1" operator="containsText" text="No">
      <formula>NOT(ISERROR(SEARCH("No",F16)))</formula>
    </cfRule>
  </conditionalFormatting>
  <conditionalFormatting sqref="H15:I15 G16:I19 H20:I20">
    <cfRule type="cellIs" dxfId="5" priority="4" operator="greaterThan">
      <formula>#REF!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E6BA-7D34-4558-BCBC-405B04381C64}">
  <dimension ref="A1:J21"/>
  <sheetViews>
    <sheetView tabSelected="1" zoomScale="60" zoomScaleNormal="60" workbookViewId="0">
      <selection activeCell="B16" sqref="B16"/>
    </sheetView>
  </sheetViews>
  <sheetFormatPr baseColWidth="10" defaultColWidth="8.5703125" defaultRowHeight="15" x14ac:dyDescent="0.25"/>
  <cols>
    <col min="2" max="2" width="53.7109375" customWidth="1"/>
    <col min="3" max="3" width="22.42578125" customWidth="1"/>
    <col min="4" max="4" width="18.5703125" customWidth="1"/>
    <col min="5" max="5" width="11.42578125"/>
    <col min="6" max="6" width="11.5703125" customWidth="1"/>
    <col min="7" max="7" width="16.5703125" customWidth="1"/>
    <col min="8" max="8" width="17.5703125" customWidth="1"/>
    <col min="9" max="9" width="18.42578125" customWidth="1"/>
    <col min="10" max="10" width="26.42578125" customWidth="1"/>
  </cols>
  <sheetData>
    <row r="1" spans="1:10" ht="18.75" x14ac:dyDescent="0.25">
      <c r="A1" s="92"/>
      <c r="B1" s="93" t="s">
        <v>24</v>
      </c>
      <c r="C1" s="94">
        <f>'Resumen de procesos'!B1</f>
        <v>46062</v>
      </c>
      <c r="D1" s="93"/>
      <c r="E1" s="93"/>
      <c r="F1" s="93"/>
      <c r="G1" s="93"/>
      <c r="H1" s="93"/>
      <c r="I1" s="93"/>
      <c r="J1" s="95"/>
    </row>
    <row r="2" spans="1:10" x14ac:dyDescent="0.25">
      <c r="A2" s="79"/>
      <c r="J2" s="80"/>
    </row>
    <row r="3" spans="1:10" ht="15.75" x14ac:dyDescent="0.25">
      <c r="A3" s="345" t="s">
        <v>0</v>
      </c>
      <c r="B3" s="336"/>
      <c r="C3" s="66" t="s">
        <v>15</v>
      </c>
      <c r="D3" s="67"/>
      <c r="E3" s="67"/>
      <c r="F3" s="67" t="s">
        <v>86</v>
      </c>
      <c r="G3" s="167"/>
      <c r="H3" s="68"/>
      <c r="I3" s="68"/>
      <c r="J3" s="96"/>
    </row>
    <row r="4" spans="1:10" ht="15.75" x14ac:dyDescent="0.25">
      <c r="A4" s="346" t="s">
        <v>1</v>
      </c>
      <c r="B4" s="338"/>
      <c r="C4" s="66" t="s">
        <v>87</v>
      </c>
      <c r="D4" s="101"/>
      <c r="E4" s="101"/>
      <c r="F4" s="101"/>
      <c r="G4" s="101"/>
      <c r="H4" s="101"/>
      <c r="I4" s="101"/>
      <c r="J4" s="101"/>
    </row>
    <row r="5" spans="1:10" ht="15.75" x14ac:dyDescent="0.25">
      <c r="A5" s="346" t="s">
        <v>27</v>
      </c>
      <c r="B5" s="339"/>
      <c r="C5" s="9" t="str">
        <f>H21</f>
        <v>Adjudicado</v>
      </c>
      <c r="D5" s="10"/>
      <c r="E5" s="10"/>
      <c r="F5" s="10"/>
      <c r="G5" s="11" t="s">
        <v>29</v>
      </c>
      <c r="H5" s="12" t="s">
        <v>66</v>
      </c>
      <c r="I5" s="12"/>
      <c r="J5" s="77"/>
    </row>
    <row r="6" spans="1:10" ht="16.5" thickBot="1" x14ac:dyDescent="0.3">
      <c r="A6" s="76"/>
      <c r="B6" s="13"/>
      <c r="C6" s="14"/>
      <c r="D6" s="14"/>
      <c r="E6" s="14"/>
      <c r="F6" s="14"/>
      <c r="G6" s="15"/>
      <c r="H6" s="16"/>
      <c r="I6" s="16"/>
      <c r="J6" s="78"/>
    </row>
    <row r="7" spans="1:10" ht="15.75" thickBot="1" x14ac:dyDescent="0.3">
      <c r="A7" s="72"/>
      <c r="B7" s="340" t="s">
        <v>30</v>
      </c>
      <c r="C7" s="341"/>
      <c r="D7" s="342"/>
      <c r="E7" s="1"/>
      <c r="F7" s="3"/>
      <c r="G7" s="343" t="s">
        <v>71</v>
      </c>
      <c r="H7" s="341"/>
      <c r="I7" s="341"/>
      <c r="J7" s="342"/>
    </row>
    <row r="8" spans="1:10" ht="16.5" thickBot="1" x14ac:dyDescent="0.3">
      <c r="A8" s="73"/>
      <c r="B8" s="330" t="s">
        <v>72</v>
      </c>
      <c r="C8" s="331"/>
      <c r="D8" s="97">
        <v>1523275087</v>
      </c>
      <c r="E8" s="1"/>
      <c r="F8" s="3"/>
      <c r="G8" s="332" t="s">
        <v>73</v>
      </c>
      <c r="H8" s="333"/>
      <c r="I8" s="334"/>
      <c r="J8" s="97">
        <f>D8*1.3</f>
        <v>1980257613.1000001</v>
      </c>
    </row>
    <row r="9" spans="1:10" ht="15.75" thickBot="1" x14ac:dyDescent="0.3">
      <c r="A9" s="73"/>
      <c r="B9" s="70"/>
      <c r="C9" s="70"/>
      <c r="D9" s="97"/>
      <c r="E9" s="1"/>
      <c r="F9" s="3"/>
      <c r="G9" s="69"/>
      <c r="H9" s="70"/>
      <c r="I9" s="70"/>
      <c r="J9" s="97"/>
    </row>
    <row r="10" spans="1:10" ht="16.5" thickBot="1" x14ac:dyDescent="0.3">
      <c r="A10" s="73"/>
      <c r="B10" s="353" t="s">
        <v>33</v>
      </c>
      <c r="C10" s="353"/>
      <c r="D10" s="354"/>
      <c r="E10" s="143"/>
      <c r="F10" s="143"/>
      <c r="G10" s="355" t="s">
        <v>34</v>
      </c>
      <c r="H10" s="356"/>
      <c r="I10" s="356"/>
      <c r="J10" s="357"/>
    </row>
    <row r="11" spans="1:10" ht="45.75" thickBot="1" x14ac:dyDescent="0.3">
      <c r="A11" s="79"/>
      <c r="B11" s="358" t="s">
        <v>35</v>
      </c>
      <c r="C11" s="128" t="s">
        <v>36</v>
      </c>
      <c r="D11" s="129" t="s">
        <v>37</v>
      </c>
      <c r="E11" s="5"/>
      <c r="F11" s="71" t="s">
        <v>38</v>
      </c>
      <c r="G11" s="299" t="s">
        <v>39</v>
      </c>
      <c r="H11" s="300"/>
      <c r="I11" s="300"/>
      <c r="J11" s="360"/>
    </row>
    <row r="12" spans="1:10" x14ac:dyDescent="0.25">
      <c r="A12" s="49"/>
      <c r="B12" s="359"/>
      <c r="C12" s="319" t="s">
        <v>40</v>
      </c>
      <c r="D12" s="361" t="s">
        <v>40</v>
      </c>
      <c r="E12" s="6"/>
      <c r="F12" s="362"/>
      <c r="G12" s="364" t="s">
        <v>41</v>
      </c>
      <c r="H12" s="365"/>
      <c r="I12" s="366"/>
      <c r="J12" s="328"/>
    </row>
    <row r="13" spans="1:10" x14ac:dyDescent="0.25">
      <c r="A13" s="49"/>
      <c r="B13" s="359"/>
      <c r="C13" s="320"/>
      <c r="D13" s="324"/>
      <c r="E13" s="6"/>
      <c r="F13" s="363"/>
      <c r="G13" s="367"/>
      <c r="H13" s="368"/>
      <c r="I13" s="369"/>
      <c r="J13" s="329"/>
    </row>
    <row r="14" spans="1:10" ht="16.5" thickBot="1" x14ac:dyDescent="0.3">
      <c r="A14" s="55"/>
      <c r="B14" s="359"/>
      <c r="C14" s="320"/>
      <c r="D14" s="324"/>
      <c r="E14" s="6"/>
      <c r="F14" s="363"/>
      <c r="G14" s="367"/>
      <c r="H14" s="368"/>
      <c r="I14" s="369"/>
      <c r="J14" s="329"/>
    </row>
    <row r="15" spans="1:10" ht="17.25" thickBot="1" x14ac:dyDescent="0.35">
      <c r="A15" s="57">
        <v>1</v>
      </c>
      <c r="B15" s="190" t="s">
        <v>88</v>
      </c>
      <c r="C15" s="171" t="s">
        <v>52</v>
      </c>
      <c r="D15" s="152" t="s">
        <v>52</v>
      </c>
      <c r="E15" s="144"/>
      <c r="F15" s="160" t="s">
        <v>52</v>
      </c>
      <c r="G15" s="253">
        <v>1310409498</v>
      </c>
      <c r="H15" s="245"/>
      <c r="I15" s="247"/>
      <c r="J15" s="162"/>
    </row>
    <row r="16" spans="1:10" ht="24.75" customHeight="1" thickBot="1" x14ac:dyDescent="0.35">
      <c r="A16" s="58">
        <v>2</v>
      </c>
      <c r="B16" s="191" t="s">
        <v>89</v>
      </c>
      <c r="C16" s="171" t="s">
        <v>52</v>
      </c>
      <c r="D16" s="152" t="s">
        <v>52</v>
      </c>
      <c r="E16" s="8"/>
      <c r="F16" s="160" t="s">
        <v>52</v>
      </c>
      <c r="G16" s="254">
        <v>1349162560</v>
      </c>
      <c r="H16" s="246"/>
      <c r="I16" s="248"/>
      <c r="J16" s="124"/>
    </row>
    <row r="17" spans="1:10" ht="17.25" thickBot="1" x14ac:dyDescent="0.35">
      <c r="A17" s="58">
        <v>3</v>
      </c>
      <c r="B17" s="192" t="s">
        <v>90</v>
      </c>
      <c r="C17" s="193" t="s">
        <v>52</v>
      </c>
      <c r="D17" s="194" t="s">
        <v>52</v>
      </c>
      <c r="E17" s="8"/>
      <c r="F17" s="195" t="s">
        <v>52</v>
      </c>
      <c r="G17" s="264">
        <v>1210000000</v>
      </c>
      <c r="H17" s="243"/>
      <c r="I17" s="249"/>
      <c r="J17" s="130"/>
    </row>
    <row r="18" spans="1:10" ht="15.75" thickBot="1" x14ac:dyDescent="0.3">
      <c r="A18" s="79"/>
      <c r="J18" s="80"/>
    </row>
    <row r="19" spans="1:10" x14ac:dyDescent="0.25">
      <c r="A19" s="82"/>
      <c r="B19" s="306" t="s">
        <v>42</v>
      </c>
      <c r="C19" s="278" t="s">
        <v>91</v>
      </c>
      <c r="D19" s="279"/>
      <c r="E19" s="279"/>
      <c r="F19" s="279"/>
      <c r="G19" s="279"/>
      <c r="H19" s="279"/>
      <c r="I19" s="279"/>
      <c r="J19" s="347"/>
    </row>
    <row r="20" spans="1:10" ht="15.75" thickBot="1" x14ac:dyDescent="0.3">
      <c r="A20" s="82"/>
      <c r="B20" s="307"/>
      <c r="C20" s="308"/>
      <c r="D20" s="309"/>
      <c r="E20" s="309"/>
      <c r="F20" s="309"/>
      <c r="G20" s="309"/>
      <c r="H20" s="309"/>
      <c r="I20" s="309"/>
      <c r="J20" s="348"/>
    </row>
    <row r="21" spans="1:10" ht="15.75" thickBot="1" x14ac:dyDescent="0.3">
      <c r="A21" s="69"/>
      <c r="B21" s="83" t="s">
        <v>43</v>
      </c>
      <c r="C21" s="84"/>
      <c r="D21" s="85"/>
      <c r="E21" s="86"/>
      <c r="F21" s="87" t="s">
        <v>45</v>
      </c>
      <c r="G21" s="88" t="s">
        <v>46</v>
      </c>
      <c r="H21" s="89" t="s">
        <v>47</v>
      </c>
      <c r="I21" s="90" t="s">
        <v>48</v>
      </c>
      <c r="J21" s="91"/>
    </row>
  </sheetData>
  <mergeCells count="18">
    <mergeCell ref="B19:B20"/>
    <mergeCell ref="C19:J20"/>
    <mergeCell ref="B10:D10"/>
    <mergeCell ref="G10:J10"/>
    <mergeCell ref="B11:B14"/>
    <mergeCell ref="G11:J11"/>
    <mergeCell ref="C12:C14"/>
    <mergeCell ref="D12:D14"/>
    <mergeCell ref="F12:F14"/>
    <mergeCell ref="J12:J14"/>
    <mergeCell ref="G12:I14"/>
    <mergeCell ref="B8:C8"/>
    <mergeCell ref="G8:I8"/>
    <mergeCell ref="A3:B3"/>
    <mergeCell ref="A4:B4"/>
    <mergeCell ref="A5:B5"/>
    <mergeCell ref="B7:D7"/>
    <mergeCell ref="G7:J7"/>
  </mergeCells>
  <conditionalFormatting sqref="C15:F17">
    <cfRule type="containsText" dxfId="4" priority="1" operator="containsText" text="No">
      <formula>NOT(ISERROR(SEARCH("No",C15)))</formula>
    </cfRule>
  </conditionalFormatting>
  <conditionalFormatting sqref="H15:I15 G16:I17">
    <cfRule type="cellIs" dxfId="3" priority="6" operator="greaterThan">
      <formula>#REF!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56CE-CEA7-4467-91A3-308BD7D4272E}">
  <dimension ref="A1:J20"/>
  <sheetViews>
    <sheetView topLeftCell="A2" zoomScale="60" zoomScaleNormal="60" workbookViewId="0">
      <selection activeCell="N9" sqref="N9"/>
    </sheetView>
  </sheetViews>
  <sheetFormatPr baseColWidth="10" defaultColWidth="11.42578125" defaultRowHeight="15" x14ac:dyDescent="0.25"/>
  <cols>
    <col min="2" max="2" width="39.5703125" customWidth="1"/>
    <col min="3" max="3" width="22.42578125" customWidth="1"/>
    <col min="4" max="4" width="18.140625" customWidth="1"/>
    <col min="6" max="6" width="11.5703125" customWidth="1"/>
    <col min="7" max="7" width="16.5703125" customWidth="1"/>
    <col min="8" max="8" width="17.5703125" customWidth="1"/>
    <col min="9" max="9" width="18.42578125" customWidth="1"/>
    <col min="10" max="10" width="26.42578125" customWidth="1"/>
  </cols>
  <sheetData>
    <row r="1" spans="1:10" ht="18.75" x14ac:dyDescent="0.25">
      <c r="A1" s="92"/>
      <c r="B1" s="93" t="s">
        <v>24</v>
      </c>
      <c r="C1" s="94">
        <f>'Resumen de procesos'!B1</f>
        <v>46062</v>
      </c>
      <c r="D1" s="93"/>
      <c r="E1" s="93"/>
      <c r="F1" s="93"/>
      <c r="G1" s="93"/>
      <c r="H1" s="93"/>
      <c r="I1" s="93"/>
      <c r="J1" s="95"/>
    </row>
    <row r="2" spans="1:10" x14ac:dyDescent="0.25">
      <c r="A2" s="79"/>
      <c r="J2" s="80"/>
    </row>
    <row r="3" spans="1:10" ht="15.75" x14ac:dyDescent="0.25">
      <c r="A3" s="345" t="s">
        <v>0</v>
      </c>
      <c r="B3" s="336"/>
      <c r="C3" s="66" t="s">
        <v>14</v>
      </c>
      <c r="D3" s="67"/>
      <c r="E3" s="67"/>
      <c r="F3" s="67" t="s">
        <v>92</v>
      </c>
      <c r="G3" s="167"/>
      <c r="H3" s="68"/>
      <c r="I3" s="68"/>
      <c r="J3" s="96"/>
    </row>
    <row r="4" spans="1:10" ht="15.75" x14ac:dyDescent="0.25">
      <c r="A4" s="346" t="s">
        <v>1</v>
      </c>
      <c r="B4" s="338"/>
      <c r="C4" s="66" t="s">
        <v>93</v>
      </c>
      <c r="D4" s="101"/>
      <c r="E4" s="101"/>
      <c r="F4" s="101"/>
      <c r="G4" s="101"/>
      <c r="H4" s="101"/>
      <c r="I4" s="101"/>
      <c r="J4" s="101"/>
    </row>
    <row r="5" spans="1:10" ht="15.75" x14ac:dyDescent="0.25">
      <c r="A5" s="346" t="s">
        <v>27</v>
      </c>
      <c r="B5" s="339"/>
      <c r="C5" s="9" t="str">
        <f>H20</f>
        <v>Adjudicado</v>
      </c>
      <c r="D5" s="10"/>
      <c r="E5" s="10"/>
      <c r="F5" s="10"/>
      <c r="G5" s="11" t="s">
        <v>29</v>
      </c>
      <c r="H5" s="12" t="s">
        <v>66</v>
      </c>
      <c r="I5" s="12"/>
      <c r="J5" s="77"/>
    </row>
    <row r="6" spans="1:10" ht="16.5" thickBot="1" x14ac:dyDescent="0.3">
      <c r="A6" s="76"/>
      <c r="B6" s="13"/>
      <c r="C6" s="14"/>
      <c r="D6" s="14"/>
      <c r="E6" s="14"/>
      <c r="F6" s="14"/>
      <c r="G6" s="15"/>
      <c r="H6" s="16"/>
      <c r="I6" s="16"/>
      <c r="J6" s="78"/>
    </row>
    <row r="7" spans="1:10" ht="15.75" thickBot="1" x14ac:dyDescent="0.3">
      <c r="A7" s="196"/>
      <c r="B7" s="370" t="s">
        <v>30</v>
      </c>
      <c r="C7" s="270"/>
      <c r="D7" s="271"/>
      <c r="E7" s="1"/>
      <c r="F7" s="3"/>
      <c r="G7" s="343" t="s">
        <v>71</v>
      </c>
      <c r="H7" s="341"/>
      <c r="I7" s="341"/>
      <c r="J7" s="342"/>
    </row>
    <row r="8" spans="1:10" ht="16.5" thickBot="1" x14ac:dyDescent="0.3">
      <c r="A8" s="121"/>
      <c r="B8" s="330" t="s">
        <v>94</v>
      </c>
      <c r="C8" s="331"/>
      <c r="D8" s="197">
        <v>1030000000</v>
      </c>
      <c r="E8" s="1"/>
      <c r="F8" s="3"/>
      <c r="G8" s="332" t="s">
        <v>95</v>
      </c>
      <c r="H8" s="333"/>
      <c r="I8" s="334"/>
      <c r="J8" s="97">
        <f>D8*1.3</f>
        <v>1339000000</v>
      </c>
    </row>
    <row r="9" spans="1:10" ht="16.5" thickBot="1" x14ac:dyDescent="0.3">
      <c r="A9" s="121"/>
      <c r="B9" s="330" t="s">
        <v>96</v>
      </c>
      <c r="C9" s="331"/>
      <c r="D9" s="198">
        <v>640000000</v>
      </c>
      <c r="E9" s="1"/>
      <c r="F9" s="3"/>
      <c r="G9" s="332" t="s">
        <v>97</v>
      </c>
      <c r="H9" s="333"/>
      <c r="I9" s="334"/>
      <c r="J9" s="97">
        <f>D9*1.3</f>
        <v>832000000</v>
      </c>
    </row>
    <row r="10" spans="1:10" ht="16.5" thickBot="1" x14ac:dyDescent="0.3">
      <c r="A10" s="107"/>
      <c r="B10" s="371" t="s">
        <v>33</v>
      </c>
      <c r="C10" s="372"/>
      <c r="D10" s="373"/>
      <c r="E10" s="143"/>
      <c r="F10" s="143"/>
      <c r="G10" s="355" t="s">
        <v>34</v>
      </c>
      <c r="H10" s="356"/>
      <c r="I10" s="356"/>
      <c r="J10" s="357"/>
    </row>
    <row r="11" spans="1:10" ht="45.75" thickBot="1" x14ac:dyDescent="0.3">
      <c r="A11" s="107"/>
      <c r="B11" s="374" t="s">
        <v>35</v>
      </c>
      <c r="C11" s="56" t="s">
        <v>36</v>
      </c>
      <c r="D11" s="199" t="s">
        <v>37</v>
      </c>
      <c r="E11" s="5"/>
      <c r="F11" s="71" t="s">
        <v>38</v>
      </c>
      <c r="G11" s="299" t="s">
        <v>39</v>
      </c>
      <c r="H11" s="300"/>
      <c r="I11" s="300"/>
      <c r="J11" s="360"/>
    </row>
    <row r="12" spans="1:10" x14ac:dyDescent="0.25">
      <c r="A12" s="200"/>
      <c r="B12" s="375"/>
      <c r="C12" s="376" t="s">
        <v>40</v>
      </c>
      <c r="D12" s="377" t="s">
        <v>40</v>
      </c>
      <c r="E12" s="6"/>
      <c r="F12" s="323"/>
      <c r="G12" s="325" t="s">
        <v>41</v>
      </c>
      <c r="H12" s="326"/>
      <c r="I12" s="327"/>
      <c r="J12" s="328"/>
    </row>
    <row r="13" spans="1:10" x14ac:dyDescent="0.25">
      <c r="A13" s="200"/>
      <c r="B13" s="375"/>
      <c r="C13" s="376"/>
      <c r="D13" s="377"/>
      <c r="E13" s="6"/>
      <c r="F13" s="324"/>
      <c r="G13" s="42"/>
      <c r="H13" s="18"/>
      <c r="I13" s="25"/>
      <c r="J13" s="329"/>
    </row>
    <row r="14" spans="1:10" ht="16.5" thickBot="1" x14ac:dyDescent="0.3">
      <c r="A14" s="201"/>
      <c r="B14" s="375"/>
      <c r="C14" s="376"/>
      <c r="D14" s="377"/>
      <c r="E14" s="6"/>
      <c r="F14" s="324"/>
      <c r="G14" s="43" t="s">
        <v>98</v>
      </c>
      <c r="H14" s="19" t="s">
        <v>99</v>
      </c>
      <c r="I14" s="26"/>
      <c r="J14" s="329"/>
    </row>
    <row r="15" spans="1:10" ht="15.75" x14ac:dyDescent="0.25">
      <c r="A15" s="202">
        <v>1</v>
      </c>
      <c r="B15" s="170" t="s">
        <v>100</v>
      </c>
      <c r="C15" s="156" t="s">
        <v>52</v>
      </c>
      <c r="D15" s="156" t="s">
        <v>52</v>
      </c>
      <c r="E15" s="144"/>
      <c r="F15" s="156" t="s">
        <v>52</v>
      </c>
      <c r="G15" s="250">
        <v>999000000</v>
      </c>
      <c r="H15" s="166" t="s">
        <v>101</v>
      </c>
      <c r="I15" s="146"/>
      <c r="J15" s="162"/>
    </row>
    <row r="16" spans="1:10" ht="16.5" thickBot="1" x14ac:dyDescent="0.3">
      <c r="A16" s="132">
        <v>2</v>
      </c>
      <c r="B16" s="203" t="s">
        <v>102</v>
      </c>
      <c r="C16" s="204" t="s">
        <v>52</v>
      </c>
      <c r="D16" s="204" t="s">
        <v>52</v>
      </c>
      <c r="E16" s="8"/>
      <c r="F16" s="204" t="s">
        <v>52</v>
      </c>
      <c r="G16" s="252">
        <v>1025000000</v>
      </c>
      <c r="H16" s="251">
        <v>639000000</v>
      </c>
      <c r="I16" s="24"/>
      <c r="J16" s="130"/>
    </row>
    <row r="17" spans="1:10" ht="15.75" thickBot="1" x14ac:dyDescent="0.3">
      <c r="A17" s="79"/>
      <c r="J17" s="80"/>
    </row>
    <row r="18" spans="1:10" x14ac:dyDescent="0.25">
      <c r="A18" s="82"/>
      <c r="B18" s="306" t="s">
        <v>42</v>
      </c>
      <c r="C18" s="278" t="s">
        <v>103</v>
      </c>
      <c r="D18" s="279"/>
      <c r="E18" s="279"/>
      <c r="F18" s="279"/>
      <c r="G18" s="279"/>
      <c r="H18" s="279"/>
      <c r="I18" s="279"/>
      <c r="J18" s="347"/>
    </row>
    <row r="19" spans="1:10" ht="15.75" thickBot="1" x14ac:dyDescent="0.3">
      <c r="A19" s="82"/>
      <c r="B19" s="307"/>
      <c r="C19" s="308"/>
      <c r="D19" s="309"/>
      <c r="E19" s="309"/>
      <c r="F19" s="309"/>
      <c r="G19" s="309"/>
      <c r="H19" s="309"/>
      <c r="I19" s="309"/>
      <c r="J19" s="348"/>
    </row>
    <row r="20" spans="1:10" ht="15.75" thickBot="1" x14ac:dyDescent="0.3">
      <c r="A20" s="69"/>
      <c r="B20" s="83" t="s">
        <v>43</v>
      </c>
      <c r="C20" s="84"/>
      <c r="D20" s="85"/>
      <c r="E20" s="86"/>
      <c r="F20" s="87" t="s">
        <v>45</v>
      </c>
      <c r="G20" s="88" t="s">
        <v>46</v>
      </c>
      <c r="H20" s="89" t="s">
        <v>47</v>
      </c>
      <c r="I20" s="90" t="s">
        <v>48</v>
      </c>
      <c r="J20" s="91"/>
    </row>
  </sheetData>
  <mergeCells count="20">
    <mergeCell ref="B9:C9"/>
    <mergeCell ref="G9:I9"/>
    <mergeCell ref="B18:B19"/>
    <mergeCell ref="C18:J19"/>
    <mergeCell ref="B10:D10"/>
    <mergeCell ref="G10:J10"/>
    <mergeCell ref="B11:B14"/>
    <mergeCell ref="G11:J11"/>
    <mergeCell ref="C12:C14"/>
    <mergeCell ref="D12:D14"/>
    <mergeCell ref="F12:F14"/>
    <mergeCell ref="G12:I12"/>
    <mergeCell ref="J12:J14"/>
    <mergeCell ref="B8:C8"/>
    <mergeCell ref="G8:I8"/>
    <mergeCell ref="A3:B3"/>
    <mergeCell ref="A4:B4"/>
    <mergeCell ref="A5:B5"/>
    <mergeCell ref="B7:D7"/>
    <mergeCell ref="G7:J7"/>
  </mergeCells>
  <conditionalFormatting sqref="C15:F16">
    <cfRule type="containsText" dxfId="2" priority="1" operator="containsText" text="No">
      <formula>NOT(ISERROR(SEARCH("No",C15)))</formula>
    </cfRule>
  </conditionalFormatting>
  <conditionalFormatting sqref="F16">
    <cfRule type="containsText" dxfId="1" priority="2" operator="containsText" text="No">
      <formula>NOT(ISERROR(SEARCH("No",F16)))</formula>
    </cfRule>
  </conditionalFormatting>
  <conditionalFormatting sqref="H15:I15 G16:I16">
    <cfRule type="cellIs" dxfId="0" priority="5" operator="greaterThan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Resumen de procesos</vt:lpstr>
      <vt:lpstr>CLP 002_2026</vt:lpstr>
      <vt:lpstr>CLP 001_2026</vt:lpstr>
      <vt:lpstr>CLP 029_2025</vt:lpstr>
      <vt:lpstr>CLP 028_2025</vt:lpstr>
      <vt:lpstr>CLP 027_2025</vt:lpstr>
      <vt:lpstr>CLP 026_2025</vt:lpstr>
      <vt:lpstr>CPP 007_2026</vt:lpstr>
      <vt:lpstr>CPP 006_2026</vt:lpstr>
      <vt:lpstr>CPP 005_2026</vt:lpstr>
      <vt:lpstr>CPP 004_2026</vt:lpstr>
      <vt:lpstr>CPP 003_2026</vt:lpstr>
      <vt:lpstr>CPP 002_2026</vt:lpstr>
      <vt:lpstr>CPP 001_2026</vt:lpstr>
      <vt:lpstr>CPP 037_2025</vt:lpstr>
      <vt:lpstr>CPP 036 2025</vt:lpstr>
      <vt:lpstr>CPP 035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Fátima Jessica Pino Meza</dc:creator>
  <cp:keywords/>
  <dc:description/>
  <cp:lastModifiedBy>Maria Romina Samaniego Cáceres</cp:lastModifiedBy>
  <cp:revision/>
  <dcterms:created xsi:type="dcterms:W3CDTF">2015-06-05T18:17:20Z</dcterms:created>
  <dcterms:modified xsi:type="dcterms:W3CDTF">2026-02-10T17:03:54Z</dcterms:modified>
  <cp:category/>
  <cp:contentStatus/>
</cp:coreProperties>
</file>